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fe17ae224b963c/Helse og trening/"/>
    </mc:Choice>
  </mc:AlternateContent>
  <xr:revisionPtr revIDLastSave="6103" documentId="8_{0657DB7D-18D6-C343-A07E-E66618374637}" xr6:coauthVersionLast="47" xr6:coauthVersionMax="47" xr10:uidLastSave="{48FE753F-C5CD-A348-957D-C02750B73D7B}"/>
  <bookViews>
    <workbookView xWindow="20" yWindow="680" windowWidth="34560" windowHeight="19880" xr2:uid="{46A89C4D-D1B5-7E4E-8CF3-B449547C0AF8}"/>
  </bookViews>
  <sheets>
    <sheet name="Dashboard" sheetId="9" r:id="rId15"/>
    <sheet name="Guide" sheetId="8" r:id="rId1"/>
    <sheet name="Oversikt" sheetId="3" r:id="rId2"/>
    <sheet name="Vekt" sheetId="4" r:id="rId3"/>
    <sheet name="Dagslogg" sheetId="5" r:id="rId4"/>
    <sheet name="Treningslogg" sheetId="7" r:id="rId5"/>
    <sheet name="Styrketrening" sheetId="6" r:id="rId6"/>
    <sheet name="Styrketrening (historikk)" sheetId="1" r:id="rId7"/>
    <sheet name="Kommentarer" sheetId="2" r:id="rId8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3" l="1" a="1"/>
  <c r="L46" i="3" s="1"/>
  <c r="K46" i="3"/>
  <c r="J47" i="3"/>
  <c r="I47" i="3"/>
  <c r="H47" i="3"/>
  <c r="G47" i="3"/>
  <c r="F47" i="3"/>
  <c r="E47" i="3"/>
  <c r="D47" i="3"/>
  <c r="J46" i="3"/>
  <c r="I46" i="3"/>
  <c r="H46" i="3"/>
  <c r="G46" i="3"/>
  <c r="F46" i="3"/>
  <c r="E46" i="3"/>
  <c r="D46" i="3"/>
  <c r="C46" i="3"/>
  <c r="B46" i="3"/>
  <c r="L44" i="3" a="1"/>
  <c r="L44" i="3" s="1"/>
  <c r="K44" i="3"/>
  <c r="J45" i="3"/>
  <c r="I45" i="3"/>
  <c r="H45" i="3"/>
  <c r="G45" i="3"/>
  <c r="F45" i="3"/>
  <c r="E45" i="3"/>
  <c r="D45" i="3"/>
  <c r="J44" i="3"/>
  <c r="I44" i="3"/>
  <c r="H44" i="3"/>
  <c r="G44" i="3"/>
  <c r="F44" i="3"/>
  <c r="E44" i="3"/>
  <c r="D44" i="3"/>
  <c r="C44" i="3"/>
  <c r="B44" i="3"/>
  <c r="L42" i="3" a="1"/>
  <c r="L42" i="3" s="1"/>
  <c r="K42" i="3"/>
  <c r="J43" i="3"/>
  <c r="I43" i="3"/>
  <c r="H43" i="3"/>
  <c r="G43" i="3"/>
  <c r="F43" i="3"/>
  <c r="E43" i="3"/>
  <c r="D43" i="3"/>
  <c r="J42" i="3"/>
  <c r="I42" i="3"/>
  <c r="H42" i="3"/>
  <c r="G42" i="3"/>
  <c r="F42" i="3"/>
  <c r="E42" i="3"/>
  <c r="D42" i="3"/>
  <c r="C42" i="3"/>
  <c r="B42" i="3"/>
  <c r="L40" i="3" a="1"/>
  <c r="L40" i="3" s="1"/>
  <c r="K40" i="3"/>
  <c r="J41" i="3"/>
  <c r="I41" i="3"/>
  <c r="H41" i="3"/>
  <c r="G41" i="3"/>
  <c r="F41" i="3"/>
  <c r="E41" i="3"/>
  <c r="D41" i="3"/>
  <c r="J40" i="3"/>
  <c r="I40" i="3"/>
  <c r="H40" i="3"/>
  <c r="G40" i="3"/>
  <c r="F40" i="3"/>
  <c r="E40" i="3"/>
  <c r="D40" i="3"/>
  <c r="C40" i="3"/>
  <c r="B40" i="3"/>
  <c r="L38" i="3" a="1"/>
  <c r="L38" i="3" s="1"/>
  <c r="K38" i="3"/>
  <c r="J39" i="3"/>
  <c r="I39" i="3"/>
  <c r="H39" i="3"/>
  <c r="G39" i="3"/>
  <c r="F39" i="3"/>
  <c r="E39" i="3"/>
  <c r="D39" i="3"/>
  <c r="J38" i="3"/>
  <c r="I38" i="3"/>
  <c r="H38" i="3"/>
  <c r="G38" i="3"/>
  <c r="F38" i="3"/>
  <c r="E38" i="3"/>
  <c r="D38" i="3"/>
  <c r="C38" i="3"/>
  <c r="B38" i="3"/>
  <c r="L36" i="3" a="1"/>
  <c r="L36" i="3" s="1"/>
  <c r="K36" i="3"/>
  <c r="J37" i="3"/>
  <c r="I37" i="3"/>
  <c r="H37" i="3"/>
  <c r="G37" i="3"/>
  <c r="F37" i="3"/>
  <c r="E37" i="3"/>
  <c r="D37" i="3"/>
  <c r="J36" i="3"/>
  <c r="I36" i="3"/>
  <c r="H36" i="3"/>
  <c r="G36" i="3"/>
  <c r="F36" i="3"/>
  <c r="E36" i="3"/>
  <c r="D36" i="3"/>
  <c r="C36" i="3"/>
  <c r="B36" i="3"/>
  <c r="L34" i="3" a="1"/>
  <c r="L34" i="3" s="1"/>
  <c r="K34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D34" i="3"/>
  <c r="C34" i="3"/>
  <c r="B34" i="3"/>
  <c r="L32" i="3" a="1"/>
  <c r="L32" i="3" s="1"/>
  <c r="K32" i="3"/>
  <c r="J33" i="3"/>
  <c r="I33" i="3"/>
  <c r="H33" i="3"/>
  <c r="G33" i="3"/>
  <c r="F33" i="3"/>
  <c r="E33" i="3"/>
  <c r="D33" i="3"/>
  <c r="J32" i="3"/>
  <c r="I32" i="3"/>
  <c r="H32" i="3"/>
  <c r="G32" i="3"/>
  <c r="F32" i="3"/>
  <c r="E32" i="3"/>
  <c r="D32" i="3"/>
  <c r="C32" i="3"/>
  <c r="B32" i="3"/>
  <c r="L30" i="3" a="1"/>
  <c r="L30" i="3" s="1"/>
  <c r="K30" i="3"/>
  <c r="J31" i="3"/>
  <c r="I31" i="3"/>
  <c r="H31" i="3"/>
  <c r="G31" i="3"/>
  <c r="F31" i="3"/>
  <c r="E31" i="3"/>
  <c r="D31" i="3"/>
  <c r="J30" i="3"/>
  <c r="I30" i="3"/>
  <c r="H30" i="3"/>
  <c r="G30" i="3"/>
  <c r="F30" i="3"/>
  <c r="E30" i="3"/>
  <c r="D30" i="3"/>
  <c r="C30" i="3"/>
  <c r="B30" i="3"/>
  <c r="L28" i="3" a="1"/>
  <c r="L28" i="3" s="1"/>
  <c r="K28" i="3"/>
  <c r="J29" i="3"/>
  <c r="I29" i="3"/>
  <c r="H29" i="3"/>
  <c r="G29" i="3"/>
  <c r="F29" i="3"/>
  <c r="E29" i="3"/>
  <c r="D29" i="3"/>
  <c r="J28" i="3"/>
  <c r="I28" i="3"/>
  <c r="H28" i="3"/>
  <c r="G28" i="3"/>
  <c r="F28" i="3"/>
  <c r="E28" i="3"/>
  <c r="D28" i="3"/>
  <c r="C28" i="3"/>
  <c r="B28" i="3"/>
  <c r="L26" i="3" a="1"/>
  <c r="L26" i="3" s="1"/>
  <c r="K26" i="3"/>
  <c r="J27" i="3"/>
  <c r="I27" i="3"/>
  <c r="H27" i="3"/>
  <c r="G27" i="3"/>
  <c r="F27" i="3"/>
  <c r="E27" i="3"/>
  <c r="D27" i="3"/>
  <c r="J26" i="3"/>
  <c r="I26" i="3"/>
  <c r="H26" i="3"/>
  <c r="G26" i="3"/>
  <c r="F26" i="3"/>
  <c r="E26" i="3"/>
  <c r="D26" i="3"/>
  <c r="C26" i="3"/>
  <c r="B26" i="3"/>
  <c r="L24" i="3" a="1"/>
  <c r="L24" i="3" s="1"/>
  <c r="K24" i="3"/>
  <c r="J25" i="3"/>
  <c r="I25" i="3"/>
  <c r="H25" i="3"/>
  <c r="G25" i="3"/>
  <c r="F25" i="3"/>
  <c r="E25" i="3"/>
  <c r="D25" i="3"/>
  <c r="J24" i="3"/>
  <c r="I24" i="3"/>
  <c r="H24" i="3"/>
  <c r="G24" i="3"/>
  <c r="F24" i="3"/>
  <c r="E24" i="3"/>
  <c r="D24" i="3"/>
  <c r="C24" i="3"/>
  <c r="B24" i="3"/>
  <c r="L22" i="3" a="1"/>
  <c r="L22" i="3" s="1"/>
  <c r="K22" i="3"/>
  <c r="J23" i="3"/>
  <c r="I23" i="3"/>
  <c r="H23" i="3"/>
  <c r="G23" i="3"/>
  <c r="F23" i="3"/>
  <c r="E23" i="3"/>
  <c r="D23" i="3"/>
  <c r="J22" i="3"/>
  <c r="I22" i="3"/>
  <c r="H22" i="3"/>
  <c r="G22" i="3"/>
  <c r="F22" i="3"/>
  <c r="E22" i="3"/>
  <c r="D22" i="3"/>
  <c r="C22" i="3"/>
  <c r="B22" i="3"/>
  <c r="L20" i="3" a="1"/>
  <c r="L20" i="3" s="1"/>
  <c r="K20" i="3"/>
  <c r="J21" i="3"/>
  <c r="I21" i="3"/>
  <c r="H21" i="3"/>
  <c r="G21" i="3"/>
  <c r="F21" i="3"/>
  <c r="E21" i="3"/>
  <c r="D21" i="3"/>
  <c r="J20" i="3"/>
  <c r="I20" i="3"/>
  <c r="H20" i="3"/>
  <c r="G20" i="3"/>
  <c r="F20" i="3"/>
  <c r="E20" i="3"/>
  <c r="D20" i="3"/>
  <c r="C20" i="3"/>
  <c r="B20" i="3"/>
  <c r="L18" i="3" a="1"/>
  <c r="L18" i="3" s="1"/>
  <c r="K18" i="3"/>
  <c r="J19" i="3"/>
  <c r="I19" i="3"/>
  <c r="H19" i="3"/>
  <c r="G19" i="3"/>
  <c r="F19" i="3"/>
  <c r="E19" i="3"/>
  <c r="D19" i="3"/>
  <c r="J18" i="3"/>
  <c r="I18" i="3"/>
  <c r="H18" i="3"/>
  <c r="G18" i="3"/>
  <c r="F18" i="3"/>
  <c r="E18" i="3"/>
  <c r="D18" i="3"/>
  <c r="C18" i="3"/>
  <c r="B18" i="3"/>
  <c r="L16" i="3" a="1"/>
  <c r="L16" i="3" s="1"/>
  <c r="K16" i="3"/>
  <c r="J17" i="3"/>
  <c r="I17" i="3"/>
  <c r="H17" i="3"/>
  <c r="G17" i="3"/>
  <c r="F17" i="3"/>
  <c r="E17" i="3"/>
  <c r="D17" i="3"/>
  <c r="J16" i="3"/>
  <c r="I16" i="3"/>
  <c r="H16" i="3"/>
  <c r="G16" i="3"/>
  <c r="F16" i="3"/>
  <c r="E16" i="3"/>
  <c r="D16" i="3"/>
  <c r="C16" i="3"/>
  <c r="B16" i="3"/>
  <c r="L14" i="3" a="1"/>
  <c r="L14" i="3" s="1"/>
  <c r="K14" i="3"/>
  <c r="J15" i="3"/>
  <c r="I15" i="3"/>
  <c r="H15" i="3"/>
  <c r="G15" i="3"/>
  <c r="F15" i="3"/>
  <c r="E15" i="3"/>
  <c r="D15" i="3"/>
  <c r="J14" i="3"/>
  <c r="I14" i="3"/>
  <c r="H14" i="3"/>
  <c r="G14" i="3"/>
  <c r="F14" i="3"/>
  <c r="E14" i="3"/>
  <c r="D14" i="3"/>
  <c r="C14" i="3"/>
  <c r="B14" i="3"/>
  <c r="L12" i="3" a="1"/>
  <c r="L12" i="3" s="1"/>
  <c r="K12" i="3"/>
  <c r="J13" i="3"/>
  <c r="I13" i="3"/>
  <c r="H13" i="3"/>
  <c r="G13" i="3"/>
  <c r="F13" i="3"/>
  <c r="E13" i="3"/>
  <c r="D13" i="3"/>
  <c r="J12" i="3"/>
  <c r="I12" i="3"/>
  <c r="H12" i="3"/>
  <c r="G12" i="3"/>
  <c r="F12" i="3"/>
  <c r="E12" i="3"/>
  <c r="D12" i="3"/>
  <c r="C12" i="3"/>
  <c r="B12" i="3"/>
  <c r="L10" i="3" a="1"/>
  <c r="L10" i="3" s="1"/>
  <c r="K10" i="3"/>
  <c r="J11" i="3"/>
  <c r="I11" i="3"/>
  <c r="H11" i="3"/>
  <c r="G11" i="3"/>
  <c r="F11" i="3"/>
  <c r="E11" i="3"/>
  <c r="D11" i="3"/>
  <c r="J10" i="3"/>
  <c r="I10" i="3"/>
  <c r="H10" i="3"/>
  <c r="G10" i="3"/>
  <c r="F10" i="3"/>
  <c r="E10" i="3"/>
  <c r="D10" i="3"/>
  <c r="C10" i="3"/>
  <c r="B10" i="3"/>
  <c r="L8" i="3" a="1"/>
  <c r="L8" i="3" s="1"/>
  <c r="K8" i="3"/>
  <c r="J9" i="3"/>
  <c r="I9" i="3"/>
  <c r="H9" i="3"/>
  <c r="G9" i="3"/>
  <c r="F9" i="3"/>
  <c r="E9" i="3"/>
  <c r="D9" i="3"/>
  <c r="J8" i="3"/>
  <c r="I8" i="3"/>
  <c r="H8" i="3"/>
  <c r="G8" i="3"/>
  <c r="F8" i="3"/>
  <c r="E8" i="3"/>
  <c r="D8" i="3"/>
  <c r="C8" i="3" s="1"/>
  <c r="B8" i="3"/>
  <c r="L6" i="3" a="1"/>
  <c r="L6" i="3" s="1"/>
  <c r="K6" i="3"/>
  <c r="J7" i="3"/>
  <c r="I7" i="3"/>
  <c r="H7" i="3"/>
  <c r="G7" i="3"/>
  <c r="F7" i="3"/>
  <c r="E7" i="3"/>
  <c r="D7" i="3"/>
  <c r="J6" i="3"/>
  <c r="I6" i="3"/>
  <c r="H6" i="3"/>
  <c r="G6" i="3"/>
  <c r="F6" i="3"/>
  <c r="E6" i="3"/>
  <c r="D6" i="3"/>
  <c r="C6" i="3" s="1"/>
  <c r="B6" i="3"/>
  <c r="O362" i="6"/>
  <c r="O363" i="6"/>
  <c r="O364" i="6"/>
  <c r="O365" i="6"/>
  <c r="O366" i="6"/>
  <c r="C367" i="6"/>
  <c r="E367" i="6"/>
  <c r="G367" i="6"/>
  <c r="I367" i="6"/>
  <c r="O367" i="6"/>
  <c r="O350" i="6"/>
  <c r="O351" i="6"/>
  <c r="O352" i="6"/>
  <c r="O355" i="6" s="1"/>
  <c r="O353" i="6"/>
  <c r="O354" i="6"/>
  <c r="C355" i="6"/>
  <c r="E355" i="6"/>
  <c r="G355" i="6"/>
  <c r="I355" i="6"/>
  <c r="K355" i="6"/>
  <c r="M355" i="6"/>
  <c r="O338" i="6"/>
  <c r="O339" i="6"/>
  <c r="O340" i="6"/>
  <c r="O343" i="6" s="1"/>
  <c r="O341" i="6"/>
  <c r="O342" i="6"/>
  <c r="C343" i="6"/>
  <c r="E343" i="6"/>
  <c r="G343" i="6"/>
  <c r="I343" i="6"/>
  <c r="K343" i="6"/>
  <c r="M343" i="6"/>
  <c r="O326" i="6"/>
  <c r="O327" i="6"/>
  <c r="O328" i="6"/>
  <c r="O329" i="6"/>
  <c r="O330" i="6"/>
  <c r="C331" i="6"/>
  <c r="E331" i="6"/>
  <c r="G331" i="6"/>
  <c r="I331" i="6"/>
  <c r="O331" i="6"/>
  <c r="O314" i="6"/>
  <c r="O315" i="6"/>
  <c r="O316" i="6"/>
  <c r="O319" i="6" s="1"/>
  <c r="O317" i="6"/>
  <c r="O318" i="6"/>
  <c r="C319" i="6"/>
  <c r="E319" i="6"/>
  <c r="G319" i="6"/>
  <c r="I319" i="6"/>
  <c r="K319" i="6"/>
  <c r="M319" i="6"/>
  <c r="O302" i="6"/>
  <c r="O303" i="6"/>
  <c r="O304" i="6"/>
  <c r="O307" i="6" s="1"/>
  <c r="O305" i="6"/>
  <c r="O306" i="6"/>
  <c r="C307" i="6"/>
  <c r="E307" i="6"/>
  <c r="G307" i="6"/>
  <c r="I307" i="6"/>
  <c r="K307" i="6"/>
  <c r="M307" i="6"/>
  <c r="O290" i="6"/>
  <c r="O291" i="6"/>
  <c r="O292" i="6"/>
  <c r="O293" i="6"/>
  <c r="O294" i="6"/>
  <c r="C295" i="6"/>
  <c r="E295" i="6"/>
  <c r="G295" i="6"/>
  <c r="I295" i="6"/>
  <c r="O295" i="6"/>
  <c r="O278" i="6"/>
  <c r="O279" i="6"/>
  <c r="O280" i="6"/>
  <c r="O283" i="6" s="1"/>
  <c r="O281" i="6"/>
  <c r="O282" i="6"/>
  <c r="C283" i="6"/>
  <c r="E283" i="6"/>
  <c r="G283" i="6"/>
  <c r="I283" i="6"/>
  <c r="K283" i="6"/>
  <c r="M283" i="6"/>
  <c r="O266" i="6"/>
  <c r="O267" i="6"/>
  <c r="O268" i="6"/>
  <c r="O271" i="6" s="1"/>
  <c r="O269" i="6"/>
  <c r="O270" i="6"/>
  <c r="C271" i="6"/>
  <c r="E271" i="6"/>
  <c r="G271" i="6"/>
  <c r="I271" i="6"/>
  <c r="K271" i="6"/>
  <c r="M271" i="6"/>
  <c r="O254" i="6"/>
  <c r="O255" i="6"/>
  <c r="O256" i="6"/>
  <c r="O257" i="6"/>
  <c r="O258" i="6"/>
  <c r="C259" i="6"/>
  <c r="E259" i="6"/>
  <c r="G259" i="6"/>
  <c r="I259" i="6"/>
  <c r="O259" i="6"/>
  <c r="O242" i="6"/>
  <c r="O243" i="6"/>
  <c r="O244" i="6"/>
  <c r="O247" i="6" s="1"/>
  <c r="O245" i="6"/>
  <c r="O246" i="6"/>
  <c r="C247" i="6"/>
  <c r="E247" i="6"/>
  <c r="G247" i="6"/>
  <c r="I247" i="6"/>
  <c r="K247" i="6"/>
  <c r="M247" i="6"/>
  <c r="O230" i="6"/>
  <c r="O231" i="6"/>
  <c r="O232" i="6"/>
  <c r="O235" i="6" s="1"/>
  <c r="O233" i="6"/>
  <c r="O234" i="6"/>
  <c r="C235" i="6"/>
  <c r="E235" i="6"/>
  <c r="G235" i="6"/>
  <c r="I235" i="6"/>
  <c r="K235" i="6"/>
  <c r="M235" i="6"/>
  <c r="O218" i="6"/>
  <c r="O219" i="6"/>
  <c r="O220" i="6"/>
  <c r="O221" i="6"/>
  <c r="O222" i="6"/>
  <c r="C223" i="6"/>
  <c r="E223" i="6"/>
  <c r="G223" i="6"/>
  <c r="I223" i="6"/>
  <c r="O223" i="6"/>
  <c r="O206" i="6"/>
  <c r="O207" i="6"/>
  <c r="O208" i="6"/>
  <c r="O211" i="6" s="1"/>
  <c r="O209" i="6"/>
  <c r="O210" i="6"/>
  <c r="C211" i="6"/>
  <c r="E211" i="6"/>
  <c r="G211" i="6"/>
  <c r="I211" i="6"/>
  <c r="K211" i="6"/>
  <c r="M211" i="6"/>
  <c r="O194" i="6"/>
  <c r="O195" i="6"/>
  <c r="O196" i="6"/>
  <c r="O199" i="6" s="1"/>
  <c r="O197" i="6"/>
  <c r="O198" i="6"/>
  <c r="C199" i="6"/>
  <c r="E199" i="6"/>
  <c r="G199" i="6"/>
  <c r="I199" i="6"/>
  <c r="K199" i="6"/>
  <c r="M199" i="6"/>
  <c r="O182" i="6"/>
  <c r="O183" i="6"/>
  <c r="O184" i="6"/>
  <c r="O185" i="6"/>
  <c r="O186" i="6"/>
  <c r="C187" i="6"/>
  <c r="E187" i="6"/>
  <c r="G187" i="6"/>
  <c r="I187" i="6"/>
  <c r="O187" i="6"/>
  <c r="O170" i="6"/>
  <c r="O171" i="6"/>
  <c r="O172" i="6"/>
  <c r="O175" i="6" s="1"/>
  <c r="O173" i="6"/>
  <c r="O174" i="6"/>
  <c r="C175" i="6"/>
  <c r="E175" i="6"/>
  <c r="G175" i="6"/>
  <c r="I175" i="6"/>
  <c r="K175" i="6"/>
  <c r="M175" i="6"/>
  <c r="O158" i="6"/>
  <c r="O159" i="6"/>
  <c r="O160" i="6"/>
  <c r="O163" i="6" s="1"/>
  <c r="O161" i="6"/>
  <c r="O162" i="6"/>
  <c r="C163" i="6"/>
  <c r="E163" i="6"/>
  <c r="G163" i="6"/>
  <c r="I163" i="6"/>
  <c r="K163" i="6"/>
  <c r="M163" i="6"/>
  <c r="O146" i="6"/>
  <c r="O147" i="6"/>
  <c r="O148" i="6"/>
  <c r="O149" i="6"/>
  <c r="O150" i="6"/>
  <c r="C151" i="6"/>
  <c r="E151" i="6"/>
  <c r="G151" i="6"/>
  <c r="I151" i="6"/>
  <c r="O151" i="6"/>
  <c r="O134" i="6"/>
  <c r="O135" i="6"/>
  <c r="O136" i="6"/>
  <c r="O139" i="6" s="1"/>
  <c r="O137" i="6"/>
  <c r="O138" i="6"/>
  <c r="C139" i="6"/>
  <c r="E139" i="6"/>
  <c r="G139" i="6"/>
  <c r="I139" i="6"/>
  <c r="K139" i="6"/>
  <c r="M139" i="6"/>
  <c r="O122" i="6"/>
  <c r="O123" i="6"/>
  <c r="O124" i="6"/>
  <c r="O127" i="6" s="1"/>
  <c r="O125" i="6"/>
  <c r="O126" i="6"/>
  <c r="C127" i="6"/>
  <c r="E127" i="6"/>
  <c r="G127" i="6"/>
  <c r="I127" i="6"/>
  <c r="K127" i="6"/>
  <c r="M127" i="6"/>
  <c r="O110" i="6"/>
  <c r="O111" i="6"/>
  <c r="O112" i="6"/>
  <c r="O113" i="6"/>
  <c r="O114" i="6"/>
  <c r="C115" i="6"/>
  <c r="E115" i="6"/>
  <c r="G115" i="6"/>
  <c r="I115" i="6"/>
  <c r="O115" i="6"/>
  <c r="O98" i="6"/>
  <c r="O99" i="6"/>
  <c r="O100" i="6"/>
  <c r="O103" i="6" s="1"/>
  <c r="O101" i="6"/>
  <c r="O102" i="6"/>
  <c r="C103" i="6"/>
  <c r="E103" i="6"/>
  <c r="G103" i="6"/>
  <c r="I103" i="6"/>
  <c r="K103" i="6"/>
  <c r="M103" i="6"/>
  <c r="O86" i="6"/>
  <c r="O87" i="6"/>
  <c r="O88" i="6"/>
  <c r="O91" i="6" s="1"/>
  <c r="O89" i="6"/>
  <c r="O90" i="6"/>
  <c r="C91" i="6"/>
  <c r="E91" i="6"/>
  <c r="G91" i="6"/>
  <c r="I91" i="6"/>
  <c r="K91" i="6"/>
  <c r="M91" i="6"/>
  <c r="O74" i="6"/>
  <c r="O75" i="6"/>
  <c r="O76" i="6"/>
  <c r="O77" i="6"/>
  <c r="O78" i="6"/>
  <c r="C79" i="6"/>
  <c r="E79" i="6"/>
  <c r="G79" i="6"/>
  <c r="I79" i="6"/>
  <c r="O79" i="6"/>
  <c r="O62" i="6"/>
  <c r="O63" i="6"/>
  <c r="O64" i="6"/>
  <c r="O67" i="6" s="1"/>
  <c r="O65" i="6"/>
  <c r="O66" i="6"/>
  <c r="C67" i="6"/>
  <c r="E67" i="6"/>
  <c r="G67" i="6"/>
  <c r="I67" i="6"/>
  <c r="K67" i="6"/>
  <c r="M67" i="6"/>
  <c r="O50" i="6"/>
  <c r="O51" i="6"/>
  <c r="O52" i="6"/>
  <c r="O55" i="6" s="1"/>
  <c r="O53" i="6"/>
  <c r="O54" i="6"/>
  <c r="C55" i="6"/>
  <c r="E55" i="6"/>
  <c r="G55" i="6"/>
  <c r="I55" i="6"/>
  <c r="K55" i="6"/>
  <c r="M55" i="6"/>
  <c r="O38" i="6"/>
  <c r="O39" i="6"/>
  <c r="O40" i="6"/>
  <c r="O41" i="6"/>
  <c r="O42" i="6"/>
  <c r="C43" i="6"/>
  <c r="E43" i="6"/>
  <c r="G43" i="6"/>
  <c r="I43" i="6"/>
  <c r="O43" i="6"/>
  <c r="O26" i="6"/>
  <c r="O27" i="6"/>
  <c r="O28" i="6"/>
  <c r="O29" i="6"/>
  <c r="O30" i="6"/>
  <c r="C31" i="6"/>
  <c r="E31" i="6"/>
  <c r="G31" i="6"/>
  <c r="I31" i="6"/>
  <c r="K31" i="6"/>
  <c r="M31" i="6"/>
  <c r="O14" i="6"/>
  <c r="O15" i="6"/>
  <c r="O16" i="6"/>
  <c r="O17" i="6"/>
  <c r="O18" i="6"/>
  <c r="C19" i="6"/>
  <c r="E19" i="6"/>
  <c r="G19" i="6"/>
  <c r="I19" i="6"/>
  <c r="K19" i="6"/>
  <c r="M19" i="6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W34" i="4"/>
  <c r="W33" i="4"/>
  <c r="AB46" i="4" s="1"/>
  <c r="W32" i="4"/>
  <c r="W31" i="4"/>
  <c r="AB44" i="4" s="1"/>
  <c r="W30" i="4"/>
  <c r="AB43" i="4" s="1"/>
  <c r="W29" i="4"/>
  <c r="AB42" i="4" s="1"/>
  <c r="W28" i="4"/>
  <c r="AB41" i="4" s="1"/>
  <c r="W27" i="4"/>
  <c r="AB40" i="4" s="1"/>
  <c r="W26" i="4"/>
  <c r="AB39" i="4" s="1"/>
  <c r="W25" i="4"/>
  <c r="AB38" i="4" s="1"/>
  <c r="W24" i="4"/>
  <c r="W23" i="4"/>
  <c r="AB36" i="4" s="1"/>
  <c r="W22" i="4"/>
  <c r="W21" i="4"/>
  <c r="AB34" i="4" s="1"/>
  <c r="W20" i="4"/>
  <c r="AB33" i="4" s="1"/>
  <c r="W19" i="4"/>
  <c r="AB32" i="4" s="1"/>
  <c r="W18" i="4"/>
  <c r="AB31" i="4" s="1"/>
  <c r="W17" i="4"/>
  <c r="AB30" i="4" s="1"/>
  <c r="W16" i="4"/>
  <c r="AB29" i="4" s="1"/>
  <c r="W15" i="4"/>
  <c r="AB28" i="4" s="1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Y14" i="4"/>
  <c r="W14" i="4"/>
  <c r="AB27" i="4" s="1"/>
  <c r="E14" i="4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4" i="5"/>
  <c r="U9" i="4"/>
  <c r="H14" i="4"/>
  <c r="AB47" i="4"/>
  <c r="Z47" i="4"/>
  <c r="Z46" i="4"/>
  <c r="AB45" i="4"/>
  <c r="Z45" i="4"/>
  <c r="Z44" i="4"/>
  <c r="Z43" i="4"/>
  <c r="Z42" i="4"/>
  <c r="Z41" i="4"/>
  <c r="Z40" i="4"/>
  <c r="Z39" i="4"/>
  <c r="Z38" i="4"/>
  <c r="AB37" i="4"/>
  <c r="Z37" i="4"/>
  <c r="Z36" i="4"/>
  <c r="AB35" i="4"/>
  <c r="Z35" i="4"/>
  <c r="Z34" i="4"/>
  <c r="Z33" i="4"/>
  <c r="Z32" i="4"/>
  <c r="Z31" i="4"/>
  <c r="Z30" i="4"/>
  <c r="Z29" i="4"/>
  <c r="Z28" i="4"/>
  <c r="Z27" i="4"/>
  <c r="D19" i="4"/>
  <c r="D18" i="4"/>
  <c r="F18" i="4" s="1"/>
  <c r="H18" i="4" s="1"/>
  <c r="J18" i="4" s="1"/>
  <c r="L18" i="4" s="1"/>
  <c r="N18" i="4" s="1"/>
  <c r="P18" i="4" s="1"/>
  <c r="J17" i="4"/>
  <c r="L17" i="4" s="1"/>
  <c r="N17" i="4" s="1"/>
  <c r="P17" i="4" s="1"/>
  <c r="D16" i="4"/>
  <c r="D17" i="4" s="1"/>
  <c r="F17" i="4" s="1"/>
  <c r="H17" i="4" s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P15" i="4"/>
  <c r="N15" i="4"/>
  <c r="L15" i="4"/>
  <c r="J15" i="4"/>
  <c r="H15" i="4"/>
  <c r="F15" i="4"/>
  <c r="D15" i="4"/>
  <c r="C15" i="4"/>
  <c r="J14" i="4"/>
  <c r="L14" i="4" s="1"/>
  <c r="N14" i="4" s="1"/>
  <c r="P14" i="4" s="1"/>
  <c r="F14" i="4"/>
  <c r="D14" i="4"/>
  <c r="Y80" i="1"/>
  <c r="Y81" i="1"/>
  <c r="Y82" i="1"/>
  <c r="Y83" i="1"/>
  <c r="Y84" i="1"/>
  <c r="Y85" i="1"/>
  <c r="Y86" i="1"/>
  <c r="W85" i="1"/>
  <c r="W86" i="1"/>
  <c r="U85" i="1"/>
  <c r="U86" i="1"/>
  <c r="S85" i="1"/>
  <c r="S86" i="1"/>
  <c r="Q85" i="1"/>
  <c r="Q86" i="1"/>
  <c r="O85" i="1"/>
  <c r="O86" i="1"/>
  <c r="M85" i="1"/>
  <c r="M86" i="1"/>
  <c r="K85" i="1"/>
  <c r="K86" i="1"/>
  <c r="I85" i="1"/>
  <c r="I86" i="1"/>
  <c r="G85" i="1"/>
  <c r="G86" i="1"/>
  <c r="E85" i="1"/>
  <c r="E86" i="1"/>
  <c r="C85" i="1"/>
  <c r="C86" i="1"/>
  <c r="Y56" i="1"/>
  <c r="Y57" i="1"/>
  <c r="Y58" i="1"/>
  <c r="Y59" i="1"/>
  <c r="Y60" i="1"/>
  <c r="C61" i="1"/>
  <c r="E61" i="1"/>
  <c r="G61" i="1"/>
  <c r="I61" i="1"/>
  <c r="K61" i="1"/>
  <c r="M61" i="1"/>
  <c r="O61" i="1"/>
  <c r="Q61" i="1"/>
  <c r="S61" i="1"/>
  <c r="U61" i="1"/>
  <c r="W61" i="1"/>
  <c r="Y61" i="1"/>
  <c r="Y46" i="1"/>
  <c r="Y47" i="1"/>
  <c r="Y48" i="1"/>
  <c r="Y49" i="1"/>
  <c r="Y50" i="1"/>
  <c r="Y51" i="1"/>
  <c r="W51" i="1"/>
  <c r="U51" i="1"/>
  <c r="S51" i="1"/>
  <c r="Q51" i="1"/>
  <c r="O51" i="1"/>
  <c r="M51" i="1"/>
  <c r="K51" i="1"/>
  <c r="I51" i="1"/>
  <c r="G51" i="1"/>
  <c r="E51" i="1"/>
  <c r="C51" i="1"/>
  <c r="Y36" i="1"/>
  <c r="Y37" i="1"/>
  <c r="Y38" i="1"/>
  <c r="Y39" i="1"/>
  <c r="Y40" i="1"/>
  <c r="C41" i="1"/>
  <c r="E41" i="1"/>
  <c r="G41" i="1"/>
  <c r="I41" i="1"/>
  <c r="K41" i="1"/>
  <c r="M41" i="1"/>
  <c r="O41" i="1"/>
  <c r="Q41" i="1"/>
  <c r="S41" i="1"/>
  <c r="U41" i="1"/>
  <c r="W41" i="1"/>
  <c r="Y41" i="1"/>
  <c r="Y26" i="1"/>
  <c r="Y27" i="1"/>
  <c r="Y28" i="1"/>
  <c r="Y29" i="1"/>
  <c r="Y30" i="1"/>
  <c r="Y31" i="1"/>
  <c r="W31" i="1"/>
  <c r="U31" i="1"/>
  <c r="S31" i="1"/>
  <c r="Q31" i="1"/>
  <c r="O31" i="1"/>
  <c r="M31" i="1"/>
  <c r="K31" i="1"/>
  <c r="I31" i="1"/>
  <c r="G31" i="1"/>
  <c r="E31" i="1"/>
  <c r="C31" i="1"/>
  <c r="Y16" i="1"/>
  <c r="Y17" i="1"/>
  <c r="Y18" i="1"/>
  <c r="Y19" i="1"/>
  <c r="Y20" i="1"/>
  <c r="Y21" i="1"/>
  <c r="W21" i="1"/>
  <c r="U21" i="1"/>
  <c r="S21" i="1"/>
  <c r="Q21" i="1"/>
  <c r="O21" i="1"/>
  <c r="M21" i="1"/>
  <c r="K21" i="1"/>
  <c r="I21" i="1"/>
  <c r="G21" i="1"/>
  <c r="E21" i="1"/>
  <c r="C21" i="1"/>
  <c r="O11" i="1"/>
  <c r="S11" i="1"/>
  <c r="Y68" i="1"/>
  <c r="Y69" i="1"/>
  <c r="Y70" i="1"/>
  <c r="Y71" i="1"/>
  <c r="Y72" i="1"/>
  <c r="Y73" i="1"/>
  <c r="Y6" i="1"/>
  <c r="Y7" i="1"/>
  <c r="Y8" i="1"/>
  <c r="Y9" i="1"/>
  <c r="Y10" i="1"/>
  <c r="Y11" i="1"/>
  <c r="Y74" i="1"/>
  <c r="W73" i="1"/>
  <c r="W11" i="1"/>
  <c r="W74" i="1"/>
  <c r="U73" i="1"/>
  <c r="U11" i="1"/>
  <c r="U74" i="1"/>
  <c r="S73" i="1"/>
  <c r="S74" i="1"/>
  <c r="Q73" i="1"/>
  <c r="Q11" i="1"/>
  <c r="Q74" i="1"/>
  <c r="O73" i="1"/>
  <c r="O74" i="1"/>
  <c r="M73" i="1"/>
  <c r="M11" i="1"/>
  <c r="M74" i="1"/>
  <c r="K73" i="1"/>
  <c r="K11" i="1"/>
  <c r="K74" i="1"/>
  <c r="I73" i="1"/>
  <c r="I11" i="1"/>
  <c r="I74" i="1"/>
  <c r="G73" i="1"/>
  <c r="G11" i="1"/>
  <c r="G74" i="1"/>
  <c r="E73" i="1"/>
  <c r="E11" i="1"/>
  <c r="E74" i="1"/>
  <c r="C73" i="1"/>
  <c r="C11" i="1"/>
  <c r="C74" i="1"/>
  <c r="O31" i="6" l="1"/>
  <c r="O19" i="6"/>
  <c r="R33" i="4"/>
  <c r="V33" i="4" s="1"/>
  <c r="X33" i="4" s="1"/>
  <c r="R23" i="4"/>
  <c r="AA36" i="4" s="1"/>
  <c r="R29" i="4"/>
  <c r="U29" i="4" s="1"/>
  <c r="R24" i="4"/>
  <c r="U24" i="4" s="1"/>
  <c r="R34" i="4"/>
  <c r="U34" i="4" s="1"/>
  <c r="U8" i="4" a="1"/>
  <c r="U8" i="4" s="1"/>
  <c r="R17" i="4"/>
  <c r="S17" i="4" s="1"/>
  <c r="V34" i="4"/>
  <c r="X34" i="4" s="1"/>
  <c r="AA47" i="4"/>
  <c r="R21" i="4"/>
  <c r="V21" i="4" s="1"/>
  <c r="X21" i="4" s="1"/>
  <c r="R14" i="4"/>
  <c r="U14" i="4" s="1"/>
  <c r="R19" i="4"/>
  <c r="S19" i="4" s="1"/>
  <c r="R18" i="4"/>
  <c r="AA31" i="4" s="1"/>
  <c r="R28" i="4"/>
  <c r="S28" i="4" s="1"/>
  <c r="R30" i="4"/>
  <c r="S30" i="4" s="1"/>
  <c r="R27" i="4"/>
  <c r="V27" i="4" s="1"/>
  <c r="X27" i="4" s="1"/>
  <c r="R22" i="4"/>
  <c r="AA35" i="4" s="1"/>
  <c r="AA30" i="4"/>
  <c r="R20" i="4"/>
  <c r="AA33" i="4" s="1"/>
  <c r="R16" i="4"/>
  <c r="U16" i="4" s="1"/>
  <c r="R26" i="4"/>
  <c r="V26" i="4" s="1"/>
  <c r="X26" i="4" s="1"/>
  <c r="R32" i="4"/>
  <c r="AA45" i="4" s="1"/>
  <c r="R31" i="4"/>
  <c r="AA44" i="4" s="1"/>
  <c r="R15" i="4"/>
  <c r="S15" i="4" s="1"/>
  <c r="R25" i="4"/>
  <c r="V25" i="4" s="1"/>
  <c r="X25" i="4" s="1"/>
  <c r="AA37" i="4"/>
  <c r="AA46" i="4"/>
  <c r="U7" i="4" a="1"/>
  <c r="U7" i="4" s="1"/>
  <c r="D20" i="4"/>
  <c r="F19" i="4"/>
  <c r="H19" i="4" s="1"/>
  <c r="J19" i="4" s="1"/>
  <c r="L19" i="4" s="1"/>
  <c r="N19" i="4" s="1"/>
  <c r="P19" i="4" s="1"/>
  <c r="S33" i="4"/>
  <c r="U33" i="4"/>
  <c r="F16" i="4"/>
  <c r="H16" i="4" s="1"/>
  <c r="J16" i="4" s="1"/>
  <c r="L16" i="4" s="1"/>
  <c r="N16" i="4" s="1"/>
  <c r="P16" i="4" s="1"/>
  <c r="S24" i="4"/>
  <c r="V24" i="4"/>
  <c r="X24" i="4" s="1"/>
  <c r="AA42" i="4" l="1"/>
  <c r="U17" i="4"/>
  <c r="S29" i="4"/>
  <c r="S34" i="4"/>
  <c r="S20" i="4"/>
  <c r="U21" i="4"/>
  <c r="V20" i="4"/>
  <c r="X20" i="4" s="1"/>
  <c r="S21" i="4"/>
  <c r="V17" i="4"/>
  <c r="X17" i="4" s="1"/>
  <c r="V29" i="4"/>
  <c r="X29" i="4" s="1"/>
  <c r="AA34" i="4"/>
  <c r="S23" i="4"/>
  <c r="U23" i="4"/>
  <c r="V23" i="4"/>
  <c r="X23" i="4" s="1"/>
  <c r="V14" i="4"/>
  <c r="X14" i="4" s="1"/>
  <c r="S14" i="4"/>
  <c r="S26" i="4"/>
  <c r="AA39" i="4"/>
  <c r="U26" i="4"/>
  <c r="U22" i="4"/>
  <c r="U20" i="4"/>
  <c r="S16" i="4"/>
  <c r="AA43" i="4"/>
  <c r="V16" i="4"/>
  <c r="X16" i="4" s="1"/>
  <c r="V30" i="4"/>
  <c r="X30" i="4" s="1"/>
  <c r="S18" i="4"/>
  <c r="V28" i="4"/>
  <c r="X28" i="4" s="1"/>
  <c r="V19" i="4"/>
  <c r="X19" i="4" s="1"/>
  <c r="AA41" i="4"/>
  <c r="U28" i="4"/>
  <c r="V18" i="4"/>
  <c r="X18" i="4" s="1"/>
  <c r="U19" i="4"/>
  <c r="U18" i="4"/>
  <c r="S22" i="4"/>
  <c r="AA32" i="4"/>
  <c r="V22" i="4"/>
  <c r="X22" i="4" s="1"/>
  <c r="AA40" i="4"/>
  <c r="U27" i="4"/>
  <c r="U30" i="4"/>
  <c r="S27" i="4"/>
  <c r="R35" i="4"/>
  <c r="AA38" i="4"/>
  <c r="U15" i="4"/>
  <c r="V15" i="4" s="1"/>
  <c r="X15" i="4" s="1"/>
  <c r="U25" i="4"/>
  <c r="S31" i="4"/>
  <c r="V32" i="4"/>
  <c r="X32" i="4" s="1"/>
  <c r="AA29" i="4"/>
  <c r="V31" i="4"/>
  <c r="X31" i="4" s="1"/>
  <c r="S25" i="4"/>
  <c r="U4" i="4"/>
  <c r="U32" i="4"/>
  <c r="U31" i="4"/>
  <c r="S32" i="4"/>
  <c r="D21" i="4"/>
  <c r="F20" i="4"/>
  <c r="H20" i="4" s="1"/>
  <c r="J20" i="4" s="1"/>
  <c r="L20" i="4" s="1"/>
  <c r="N20" i="4" s="1"/>
  <c r="P20" i="4" s="1"/>
  <c r="AA27" i="4" l="1"/>
  <c r="AA28" i="4"/>
  <c r="S35" i="4"/>
  <c r="U35" i="4"/>
  <c r="U6" i="4"/>
  <c r="U5" i="4"/>
  <c r="U10" i="4" s="1"/>
  <c r="F21" i="4"/>
  <c r="H21" i="4" s="1"/>
  <c r="J21" i="4" s="1"/>
  <c r="L21" i="4" s="1"/>
  <c r="N21" i="4" s="1"/>
  <c r="P21" i="4" s="1"/>
  <c r="D22" i="4"/>
  <c r="D23" i="4" l="1"/>
  <c r="F22" i="4"/>
  <c r="H22" i="4" s="1"/>
  <c r="J22" i="4" s="1"/>
  <c r="L22" i="4" s="1"/>
  <c r="N22" i="4" s="1"/>
  <c r="P22" i="4" s="1"/>
  <c r="D24" i="4" l="1"/>
  <c r="F23" i="4"/>
  <c r="H23" i="4" s="1"/>
  <c r="J23" i="4" s="1"/>
  <c r="L23" i="4" s="1"/>
  <c r="N23" i="4" s="1"/>
  <c r="P23" i="4" s="1"/>
  <c r="F24" i="4" l="1"/>
  <c r="H24" i="4" s="1"/>
  <c r="J24" i="4" s="1"/>
  <c r="L24" i="4" s="1"/>
  <c r="N24" i="4" s="1"/>
  <c r="P24" i="4" s="1"/>
  <c r="D25" i="4"/>
  <c r="D26" i="4" l="1"/>
  <c r="F25" i="4"/>
  <c r="H25" i="4" s="1"/>
  <c r="J25" i="4" s="1"/>
  <c r="L25" i="4" s="1"/>
  <c r="N25" i="4" s="1"/>
  <c r="P25" i="4" s="1"/>
  <c r="D27" i="4" l="1"/>
  <c r="F26" i="4"/>
  <c r="H26" i="4" s="1"/>
  <c r="J26" i="4" s="1"/>
  <c r="L26" i="4" s="1"/>
  <c r="N26" i="4" s="1"/>
  <c r="P26" i="4" s="1"/>
  <c r="F27" i="4" l="1"/>
  <c r="H27" i="4" s="1"/>
  <c r="J27" i="4" s="1"/>
  <c r="L27" i="4" s="1"/>
  <c r="N27" i="4" s="1"/>
  <c r="P27" i="4" s="1"/>
  <c r="D28" i="4"/>
  <c r="D29" i="4" l="1"/>
  <c r="F28" i="4"/>
  <c r="H28" i="4" s="1"/>
  <c r="J28" i="4" s="1"/>
  <c r="L28" i="4" s="1"/>
  <c r="N28" i="4" s="1"/>
  <c r="P28" i="4" s="1"/>
  <c r="D30" i="4" l="1"/>
  <c r="F29" i="4"/>
  <c r="H29" i="4" s="1"/>
  <c r="J29" i="4" s="1"/>
  <c r="L29" i="4" s="1"/>
  <c r="N29" i="4" s="1"/>
  <c r="P29" i="4" s="1"/>
  <c r="D31" i="4" l="1"/>
  <c r="F30" i="4"/>
  <c r="H30" i="4" s="1"/>
  <c r="J30" i="4" s="1"/>
  <c r="L30" i="4" s="1"/>
  <c r="N30" i="4" s="1"/>
  <c r="P30" i="4" s="1"/>
  <c r="F31" i="4" l="1"/>
  <c r="H31" i="4" s="1"/>
  <c r="J31" i="4" s="1"/>
  <c r="L31" i="4" s="1"/>
  <c r="N31" i="4" s="1"/>
  <c r="P31" i="4" s="1"/>
  <c r="D32" i="4"/>
  <c r="D33" i="4" l="1"/>
  <c r="F32" i="4"/>
  <c r="H32" i="4" s="1"/>
  <c r="J32" i="4" s="1"/>
  <c r="L32" i="4" s="1"/>
  <c r="N32" i="4" s="1"/>
  <c r="P32" i="4" s="1"/>
  <c r="D34" i="4" l="1"/>
  <c r="F34" i="4" s="1"/>
  <c r="H34" i="4" s="1"/>
  <c r="J34" i="4" s="1"/>
  <c r="L34" i="4" s="1"/>
  <c r="N34" i="4" s="1"/>
  <c r="P34" i="4" s="1"/>
  <c r="F33" i="4"/>
  <c r="H33" i="4" s="1"/>
  <c r="J33" i="4" s="1"/>
  <c r="L33" i="4" s="1"/>
  <c r="N33" i="4" s="1"/>
  <c r="P3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Nygaard Nyberg</author>
  </authors>
  <commentList>
    <comment ref="B1" authorId="0" shapeId="0" xr:uid="{535E8990-95B8-2142-B374-EF80E8C4C7C6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Kalender uke 31–51: én celle per dag (viser dagnummer). Fargen settes av betinget formatering basert på Treningslogg-fanen (COUNTIFS på Dato+Type, prioritert rekkefølge = tegnforklaringen). Grid: D6:J26, dato = Vekt!E4 + uke×7 + dag. K = antall økter den uken, L = antall dager med trening.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Nygaard Nyberg</author>
  </authors>
  <commentList>
    <comment ref="B1" authorId="0" shapeId="0" xr:uid="{213CE308-9BD9-D840-9441-059B4DFBEFC4}">
      <text>
        <r>
          <rPr>
            <b/>
            <sz val="10"/>
            <color rgb="FF000000"/>
            <rFont val="Tahoma"/>
            <family val="2"/>
          </rPr>
          <t>Struktur: Rad 3–10 = forutsetninger (B–F) og status (R–U). Rad 12–13 = overskrifter. Rad 14–34 = uke 31–51 (én rad per uke), rad 35 = totalt. All logging skjer på Dagslogg-fanen (én rad per dag: minus, vekt, vidde) – dette arket henter alt med formler. Grønne celler = koblinger til Dagslogg, blå = input (mål/dag i kolonne T og forutsetningene), svarte = beregninger. Z25:AB47 = grafdata (ikke rediger).</t>
        </r>
      </text>
    </comment>
    <comment ref="U5" authorId="0" shapeId="0" xr:uid="{22FD06FE-8098-6045-9A42-1F5E873DBD45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Faktisk underskudd delt på ukemålene for dagene som er logget.</t>
        </r>
      </text>
    </comment>
    <comment ref="B7" authorId="0" shapeId="0" xr:uid="{6006DE38-44A5-B141-8523-C5ACF8171305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Tommelfingerregel: 7 500–7 700 kcal ≈ 1 kg fett. Endre her hvis du vil bruke en annen omregning – alt annet oppdateres automatisk.</t>
        </r>
      </text>
    </comment>
    <comment ref="U7" authorId="0" shapeId="0" xr:uid="{C1D9D3F1-ACDC-C948-8C10-D37291AA007F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Startvekt minus siste registrerte snittvekt.</t>
        </r>
      </text>
    </comment>
    <comment ref="U9" authorId="0" shapeId="0" xr:uid="{3F222D1F-52BA-F44C-B6CA-C7333A15866A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Summen av alle dagsmål (7 dager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mål per dag per uke) omregnet til kg.</t>
        </r>
      </text>
    </comment>
    <comment ref="U10" authorId="0" shapeId="0" xr:uid="{8D36B61D-3F04-2141-98C0-53B3317BE67B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Måloppnåelse hittil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totalt mål. Viser hvor du lander hvis du fortsetter i samme tempo relativt til planen.</t>
        </r>
      </text>
    </comment>
    <comment ref="E13" authorId="0" shapeId="0" xr:uid="{0677B890-06C4-4C45-9E5B-FF264DB0192C}">
      <text>
        <r>
          <rPr>
            <b/>
            <sz val="10"/>
            <color rgb="FF000000"/>
            <rFont val="Tahoma"/>
            <family val="2"/>
          </rPr>
          <t>Hentes automatisk fra Dagslogg-fanen (grønn = kobling). Logg dagens underskudd der.</t>
        </r>
      </text>
    </comment>
    <comment ref="R13" authorId="0" shapeId="0" xr:uid="{FF09583E-9294-FB43-865F-136F470F0A7D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Sum av loggede dager. Tom til første dag er logget.</t>
        </r>
      </text>
    </comment>
    <comment ref="S13" authorId="0" shapeId="0" xr:uid="{B86522DE-DD0B-444E-A0DD-2C92C156BCC6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Mål per dag × antall loggede dager – målet regnes bare for dager du faktisk har logget.</t>
        </r>
      </text>
    </comment>
    <comment ref="T13" authorId="0" shapeId="0" xr:uid="{F90EE959-E9BF-F240-B790-F84E4E6DD756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Input: mål for netto underskudd per dag denne uken (kcal).</t>
        </r>
      </text>
    </comment>
    <comment ref="U13" authorId="0" shapeId="0" xr:uid="{062AFAC1-9711-9E40-A052-6DBACDF27900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SUM UKE delt på kcal per kg (E7).</t>
        </r>
      </text>
    </comment>
    <comment ref="V13" authorId="0" shapeId="0" xr:uid="{3CB696E6-8BD8-B444-B63D-C818A259B666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Startvekt minus akkumulert estimert tap.</t>
        </r>
      </text>
    </comment>
    <comment ref="W13" authorId="0" shapeId="0" xr:uid="{4AC0051E-6EC5-084C-9760-CBE54D0F6A5B}">
      <text>
        <r>
          <rPr>
            <b/>
            <sz val="10"/>
            <color rgb="FF000000"/>
            <rFont val="Tahoma"/>
            <family val="2"/>
          </rPr>
          <t>Regnes automatisk: snitt av vektene i Dagslogg for de dagene i uken som er veid.</t>
        </r>
      </text>
    </comment>
    <comment ref="X13" authorId="0" shapeId="0" xr:uid="{F49B478F-7A86-EA42-B45C-2AA6BB24AD34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Faktisk snittvekt minus estimert vekt. Negativt = du ligger foran planen.</t>
        </r>
      </text>
    </comment>
    <comment ref="Y13" authorId="0" shapeId="0" xr:uid="{10DA2205-53AC-8B45-A8C0-B050E191F31A}">
      <text>
        <r>
          <rPr>
            <b/>
            <sz val="10"/>
            <color rgb="FF000000"/>
            <rFont val="Tahoma"/>
            <family val="2"/>
          </rPr>
          <t>Regnes automatisk: snitt av livviddene i Dagslogg for de dagene i uken som er målt.</t>
        </r>
      </text>
    </comment>
    <comment ref="Z25" authorId="0" shapeId="0" xr:uid="{445A67E9-6694-DA4A-86B2-9B982AF902A4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Hjelpekolonner for grafen: NA() gjør at uker uten data ikke tegnes som 0. Radene følger uke 31–51 i matrisen over.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Nygaard Nyberg</author>
  </authors>
  <commentList>
    <comment ref="B1" authorId="0" shapeId="0" xr:uid="{759AAD8D-A12F-E646-AE2A-16F40FC1E8C5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Struktur (for senere bruk): Rad 3-8 = programprinsipper. Øktblokker fra rad 10, én blokk per 12 rader (uke 31-40, økt A man / B ons / C fre). Blokkrader: +0 tittel, +1 øvelsesnavn (par av kolonner Vekt/Reps C:D til M:N), +2 dato (input) + mål sett×reps, +3 Vekt/Reps-etiketter, +4 Oppvarming, +5..+8 Sett 1-4, +9 Sum per øvelse (SUMPRODUCT vekt×reps, ×0,25 for øvelser merket (6)) + totalsum i O, +10 Kommentar (brukes bl.a. til øvelsesrekkefølge). Fotnoter (6)(7)(8): se Kommentarer-fanen. Historiske økter: arket «Styrketrening (historikk)».</t>
        </r>
      </text>
    </comment>
    <comment ref="C15" authorId="0" shapeId="0" xr:uid="{82AF0219-3E38-0A4D-AE0F-D601ECF4FBA3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 basert på historikk (50 kg × 6). Lagt ned pga. pause + dypere bevegelsesbane. Juster etter dagsform – RIR 3 første uke.</t>
        </r>
      </text>
    </comment>
    <comment ref="E15" authorId="0" shapeId="0" xr:uid="{907B1E18-FFD6-D140-A085-7ADFEC812227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Kroppsvekt (fotnote 7). Legg til belastning i vektfeltet når du klarer 8 reps.</t>
        </r>
      </text>
    </comment>
    <comment ref="G15" authorId="0" shapeId="0" xr:uid="{2D676687-772A-1A49-B83F-77044B12C728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Forslag. Ingen stangbenk i historikken – manualer 40–45 kg × 5–6 er grunnlaget. Start konservativt for å finne teknikk/stangbane.</t>
        </r>
      </text>
    </comment>
    <comment ref="I15" authorId="0" shapeId="0" xr:uid="{13AD94EE-B4AE-7840-ABEA-CCC8EA6796A4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Forslag: ca. 70 % av markløft (70 kg historisk). RDL kjøres lettere med streng hoftehengsel.</t>
        </r>
      </text>
    </comment>
    <comment ref="K15" authorId="0" shapeId="0" xr:uid="{42571C9A-C675-3C43-B220-CC0551F6B54E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Forslag: manualer 6 kg. Lett øvelse – progresjon i reps før vekt.</t>
        </r>
      </text>
    </comment>
    <comment ref="M15" authorId="0" shapeId="0" xr:uid="{8F5E217E-7B47-6843-9C61-D7FAC712F403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Overkroppsvekt etter plankekonvensjonen (fotnote 8), samme som historisk planke.</t>
        </r>
      </text>
    </comment>
    <comment ref="C27" authorId="0" shapeId="0" xr:uid="{65841D4B-ED26-534A-897F-3BBBA738160E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 basert på historikk (70 kg × 6). Ned pga. pause – markløft kommer raskt tilbake, forvent +2,5 kg per uke i starten.</t>
        </r>
      </text>
    </comment>
    <comment ref="E27" authorId="0" shapeId="0" xr:uid="{A99DADC8-9EE7-7A43-8F55-58BBE13A6292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 basert på historikk (militærpress 33,5 kg × 4). Stående press er strengere enn sittende – start lett.</t>
        </r>
      </text>
    </comment>
    <comment ref="G27" authorId="0" shapeId="0" xr:uid="{470FDA39-096B-8640-ABEC-DE01A1BD0E2A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 basert på historikk (roing 46 kg × 5).</t>
        </r>
      </text>
    </comment>
    <comment ref="I27" authorId="0" shapeId="0" xr:uid="{EF0F47AE-390B-B040-A4B0-D3A5759E2991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Halve kroppsvekten (fotnote 1) – kroppsvekt alene første uker. Legg manualer i vektfeltet når 3×6 går rent.</t>
        </r>
      </text>
    </comment>
    <comment ref="K27" authorId="0" shapeId="0" xr:uid="{0EB64B28-DAC2-0C4D-8187-636710F4675A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Forslag: kabel 20 kg. Lett øvelse – kontroll og høye reps.</t>
        </r>
      </text>
    </comment>
    <comment ref="M27" authorId="0" shapeId="0" xr:uid="{84991169-7FC8-7D41-8B2B-557BD609716F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Forslag: kabel/strikk 15 kg. Progreder med tyngre motstand, ikke flere reps (fotnote 8).</t>
        </r>
      </text>
    </comment>
    <comment ref="C39" authorId="0" shapeId="0" xr:uid="{9472FBD8-241E-8743-84A2-D214173E2A90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Forslag: teknikkøkt – ca. 75 % av mandagens knebøy. Frontbøy krever lettere vekt enn bakbøy.</t>
        </r>
      </text>
    </comment>
    <comment ref="E39" authorId="0" shapeId="0" xr:uid="{09855487-1174-734F-B929-F82DA08DCAF2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Kroppsvekt (fotnote 7). Supinert grep – lettere enn pullups, søk øvre del av rep-området.</t>
        </r>
      </text>
    </comment>
    <comment ref="G39" authorId="0" shapeId="0" xr:uid="{44AA5E82-F32E-0D48-8812-27675C47115C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Kroppsvekt (fotnote 7). Historisk benkdips 38 kg × 20–25 – ekte dips er mye tyngre, start uten tillegg.</t>
        </r>
      </text>
    </comment>
    <comment ref="I39" authorId="0" shapeId="0" xr:uid="{CB4504AD-27D6-8646-883A-89E34AF9A1A9}">
      <text>
        <r>
          <rPr>
            <b/>
            <sz val="10"/>
            <color rgb="FF000000"/>
            <rFont val="Tahoma"/>
            <family val="2"/>
          </rPr>
          <t>Daniel Nygaard Nyberg:</t>
        </r>
        <r>
          <rPr>
            <sz val="10"/>
            <color rgb="FF000000"/>
            <rFont val="Tahoma"/>
            <family val="2"/>
          </rPr>
          <t xml:space="preserve">
Forslag. Historisk hofteheving (20 kg) er ikke loggført – hip thrust tåler mye mer, 50 kg er konservativ start.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<sst xmlns="http://schemas.openxmlformats.org/spreadsheetml/2006/main" count="1539" uniqueCount="305">
  <si>
    <t>Vekt</t>
  </si>
  <si>
    <t>Reps.</t>
  </si>
  <si>
    <t>Markløft</t>
  </si>
  <si>
    <t>Militærpress</t>
  </si>
  <si>
    <t>Sum</t>
  </si>
  <si>
    <t>Dato</t>
  </si>
  <si>
    <t>Kommentar</t>
  </si>
  <si>
    <t>Programmet:</t>
  </si>
  <si>
    <t>Gjennomføres som tre to-ukerssykluser</t>
  </si>
  <si>
    <t>Fullkroppsprogram som kjøres tre ganger per uke</t>
  </si>
  <si>
    <t>Første syklus - 16 RM og 30-90 sek. pause mellom settene (fokus på muskulær utholdenhet)</t>
  </si>
  <si>
    <t>Andre syklus - 8 RM og 60-120 sek. pause mellom settene (fokus på hypertrofi)</t>
  </si>
  <si>
    <t>Tredje syklus - 4 RM og 120-180 sek. pause mellom settene (fokus på maks styrke)</t>
  </si>
  <si>
    <t>Hver syklus har fire sett, men ulike antall repetisjoner (antall reps. tilsvarende RM i hvert tilfelle)</t>
  </si>
  <si>
    <t>Sum (kg)</t>
  </si>
  <si>
    <t>Alterner hvert sett mellom vanlig og brede pushups (S1+S3 er vanlige og S2+S4 er brede). Vekt tilsvarer vekt av overkroppen på tidspunktet (målt ved å plassere underarmene på badevekt som i plankeøvelse)</t>
  </si>
  <si>
    <t>Alterner hvert sett mellom vanlig planke og sideplanke (S1 + S3 er vanlig planke og S2+S4 er sideplanke). Reps er oppgitt i ti-sekundersintervaller. Ved sideplanke gjøres halvparten av repsene på hver side. Vekt samme som for pushups</t>
  </si>
  <si>
    <t>Oppvarming</t>
  </si>
  <si>
    <t>Sett 1</t>
  </si>
  <si>
    <t>Sett 2</t>
  </si>
  <si>
    <t>Sett 3</t>
  </si>
  <si>
    <t>Sett 4</t>
  </si>
  <si>
    <t>Roing(4)</t>
  </si>
  <si>
    <t>(1)</t>
  </si>
  <si>
    <t>(2)</t>
  </si>
  <si>
    <t>(3)</t>
  </si>
  <si>
    <t>(4)</t>
  </si>
  <si>
    <t>(5)</t>
  </si>
  <si>
    <t>Knebøy på ett bein. Vekt tilsvarer halve kroppsvekten på tidspunktet pluss eventuelle hantelvekter (dvs. den merbelastning det enkelte beinet får)</t>
  </si>
  <si>
    <t>Knebøy</t>
  </si>
  <si>
    <t>MANDAG</t>
  </si>
  <si>
    <t>TIRSDAG</t>
  </si>
  <si>
    <t>ONSDAG</t>
  </si>
  <si>
    <t>TORSDAG</t>
  </si>
  <si>
    <t>FREDAG</t>
  </si>
  <si>
    <t>LØRDAG</t>
  </si>
  <si>
    <t>SØNDAG</t>
  </si>
  <si>
    <t>AUGUST</t>
  </si>
  <si>
    <t>SEPTEMBER</t>
  </si>
  <si>
    <t>Hoftehev</t>
  </si>
  <si>
    <t>Nedsenk rygg smalt</t>
  </si>
  <si>
    <t>Tåhev(5)(6)</t>
  </si>
  <si>
    <t>Dips benk(6)</t>
  </si>
  <si>
    <t>(6)</t>
  </si>
  <si>
    <t>Sum vekt multiplisert med 0,25 for å redusere impact av disse øvelsene på totalsum</t>
  </si>
  <si>
    <t>Benkpress flatbenk manualer</t>
  </si>
  <si>
    <t>MINUS</t>
  </si>
  <si>
    <t>Rekkefølge hypotese:</t>
  </si>
  <si>
    <t>Benkpress</t>
  </si>
  <si>
    <t>Nedtrekk</t>
  </si>
  <si>
    <t>Franskpress</t>
  </si>
  <si>
    <t>Planke</t>
  </si>
  <si>
    <t>Roing</t>
  </si>
  <si>
    <t>Manual 25 mm 2,35 kg</t>
  </si>
  <si>
    <t>Curlstang 25 mm 4,54 kg</t>
  </si>
  <si>
    <t>Biceps curl - stang</t>
  </si>
  <si>
    <t>Lang stang 25 mm 5,78 kg</t>
  </si>
  <si>
    <t>JULI</t>
  </si>
  <si>
    <t>Styrketrening 2025</t>
  </si>
  <si>
    <t>Pushups</t>
  </si>
  <si>
    <t>Pushups tatt dagen etter (04.05)</t>
  </si>
  <si>
    <t>29 min</t>
  </si>
  <si>
    <t>OKTOBER</t>
  </si>
  <si>
    <t>NOVEMBER</t>
  </si>
  <si>
    <t>DESEMBER</t>
  </si>
  <si>
    <t>SNITTVEKT</t>
  </si>
  <si>
    <t>SNITTVIDDE</t>
  </si>
  <si>
    <t>VEKT &amp; KALORIUNDERSKUDD — HØST 2026</t>
  </si>
  <si>
    <t>FORUTSETNINGER</t>
  </si>
  <si>
    <t>Startdato (mandag uke 31)</t>
  </si>
  <si>
    <t>Startvekt (kg)</t>
  </si>
  <si>
    <t>Startlivvidde (cm)</t>
  </si>
  <si>
    <t>Kcal per kg kroppsvekt</t>
  </si>
  <si>
    <t>STATUS</t>
  </si>
  <si>
    <t>Underskudd hittil (kcal)</t>
  </si>
  <si>
    <t>Måloppnåelse hittil</t>
  </si>
  <si>
    <t>Estimert tap hittil (kg)</t>
  </si>
  <si>
    <t>Faktisk tap hittil (kg)</t>
  </si>
  <si>
    <t>Livvidde-reduksjon (cm)</t>
  </si>
  <si>
    <t>Totalt mål (kg)</t>
  </si>
  <si>
    <t>Fremskrevet sluttresultat (kg)</t>
  </si>
  <si>
    <t>MÅNED / UKE</t>
  </si>
  <si>
    <t>KALORIER (KCAL)</t>
  </si>
  <si>
    <t>VEKT (KG)</t>
  </si>
  <si>
    <t>VIDDE (CM)</t>
  </si>
  <si>
    <t>MÅNED</t>
  </si>
  <si>
    <t>UKE</t>
  </si>
  <si>
    <t>DATO</t>
  </si>
  <si>
    <t>SUM UKE</t>
  </si>
  <si>
    <t>UKEMÅL</t>
  </si>
  <si>
    <t>MÅL/DAG</t>
  </si>
  <si>
    <t>EST. TAP</t>
  </si>
  <si>
    <t>EST. VEKT</t>
  </si>
  <si>
    <t>AVVIK</t>
  </si>
  <si>
    <t>TOTALT</t>
  </si>
  <si>
    <t>GRAFDATA (automatisk – ikke rediger)</t>
  </si>
  <si>
    <t>DAGSLOGG — HØST 2026</t>
  </si>
  <si>
    <t>Uke</t>
  </si>
  <si>
    <t>Ukedag</t>
  </si>
  <si>
    <t>Minus</t>
  </si>
  <si>
    <t>Vidde</t>
  </si>
  <si>
    <t>STYRKETRENING — FULLKROPP 3×/UKE · MAKS STYRKE · SUPERSETT</t>
  </si>
  <si>
    <t>Antagonist-supersett: A1+A2, B1+B2, C1+C2 — hvil 3–4 min per løft (kjør det andre løftet i pausen). Økt ≈ 50 min, økt C ≈ 30 min.</t>
  </si>
  <si>
    <t>Kvalitet over volum: 3–5 reps på hovedløft, RIR 1–3 — aldri til utmattelse på baseløftene.</t>
  </si>
  <si>
    <t>Dobbel progresjon: klarer du øverste rep-tall i alle sett med god teknikk → +2,5 kg og start nederst i rep-området.</t>
  </si>
  <si>
    <t>Fase 1–3: øktene er muskelforsikring, ikke PR-jakt. Hold løftene mens vekten går ned — kutt heller et løp enn en styrkeøkt.</t>
  </si>
  <si>
    <t>Avslutning hver økt (5 min): A = dyp knebøy-hold + hoftebøyer-tøying · B = skulder-/thorakalmobilitet.</t>
  </si>
  <si>
    <t>100 pushups kjøres som eget spor utenom gymøktene (grease the groove) — aldri samme dag som økt A. Fotnoter (6)(7)(8): se Kommentarer-fanen.</t>
  </si>
  <si>
    <t>UKE 31 · ØKT A — MANDAG</t>
  </si>
  <si>
    <t>Knebøy (dyp)</t>
  </si>
  <si>
    <t>Pullups (7)</t>
  </si>
  <si>
    <t>Rumensk markløft</t>
  </si>
  <si>
    <t>Sidehev (6)</t>
  </si>
  <si>
    <t>Hengende beinhev (6)(8)</t>
  </si>
  <si>
    <t>mål 4×3–5</t>
  </si>
  <si>
    <t>mål 4×3–6</t>
  </si>
  <si>
    <t>mål 3×4–6</t>
  </si>
  <si>
    <t>mål 3×5–6</t>
  </si>
  <si>
    <t>mål 2×10–12</t>
  </si>
  <si>
    <t>mål 2×8–12</t>
  </si>
  <si>
    <t>Reps</t>
  </si>
  <si>
    <t>UKE 31 · ØKT B — ONSDAG</t>
  </si>
  <si>
    <t>Skulderpress stående</t>
  </si>
  <si>
    <t>Stangroing</t>
  </si>
  <si>
    <t>Bulgarsk utfall</t>
  </si>
  <si>
    <t>Facepulls (6)</t>
  </si>
  <si>
    <t>Pallof-press (6)(8)</t>
  </si>
  <si>
    <t>mål 4×3–4</t>
  </si>
  <si>
    <t>mål 4×4–6</t>
  </si>
  <si>
    <t>mål 3×5–6 per bein</t>
  </si>
  <si>
    <t>mål 2×12–15</t>
  </si>
  <si>
    <t>mål 2×10 per side</t>
  </si>
  <si>
    <t>UKE 31 · ØKT C — FREDAG (30 MIN)</t>
  </si>
  <si>
    <t>Frontbøy el. knebøy (lett)</t>
  </si>
  <si>
    <t>Chins (7)</t>
  </si>
  <si>
    <t>Dips (7)</t>
  </si>
  <si>
    <t>Hip thrust</t>
  </si>
  <si>
    <t>mål 3×5</t>
  </si>
  <si>
    <t>mål 3×5–8</t>
  </si>
  <si>
    <t>mål 3×6–8</t>
  </si>
  <si>
    <t>UKE 32 · ØKT A — MANDAG</t>
  </si>
  <si>
    <t>UKE 32 · ØKT B — ONSDAG</t>
  </si>
  <si>
    <t>UKE 32 · ØKT C — FREDAG (30 MIN)</t>
  </si>
  <si>
    <t>UKE 33 · ØKT A — MANDAG</t>
  </si>
  <si>
    <t>UKE 33 · ØKT B — ONSDAG</t>
  </si>
  <si>
    <t>UKE 33 · ØKT C — FREDAG (30 MIN)</t>
  </si>
  <si>
    <t>UKE 34 · ØKT A — MANDAG</t>
  </si>
  <si>
    <t>UKE 34 · ØKT B — ONSDAG</t>
  </si>
  <si>
    <t>UKE 34 · ØKT C — FREDAG (30 MIN)</t>
  </si>
  <si>
    <t>UKE 35 · ØKT A — MANDAG</t>
  </si>
  <si>
    <t>UKE 35 · ØKT B — ONSDAG</t>
  </si>
  <si>
    <t>UKE 35 · ØKT C — FREDAG (30 MIN)</t>
  </si>
  <si>
    <t>UKE 36 · ØKT A — MANDAG</t>
  </si>
  <si>
    <t>UKE 36 · ØKT B — ONSDAG</t>
  </si>
  <si>
    <t>UKE 36 · ØKT C — FREDAG (30 MIN)</t>
  </si>
  <si>
    <t>UKE 37 · ØKT A — MANDAG</t>
  </si>
  <si>
    <t>UKE 37 · ØKT B — ONSDAG</t>
  </si>
  <si>
    <t>UKE 37 · ØKT C — FREDAG (30 MIN)</t>
  </si>
  <si>
    <t>UKE 38 · ØKT A — MANDAG</t>
  </si>
  <si>
    <t>UKE 38 · ØKT B — ONSDAG</t>
  </si>
  <si>
    <t>UKE 38 · ØKT C — FREDAG (30 MIN)</t>
  </si>
  <si>
    <t>UKE 39 · ØKT A — MANDAG</t>
  </si>
  <si>
    <t>UKE 39 · ØKT B — ONSDAG</t>
  </si>
  <si>
    <t>UKE 39 · ØKT C — FREDAG (30 MIN)</t>
  </si>
  <si>
    <t>UKE 40 · ØKT A — MANDAG</t>
  </si>
  <si>
    <t>UKE 40 · ØKT B — ONSDAG</t>
  </si>
  <si>
    <t>UKE 40 · ØKT C — FREDAG (30 MIN)</t>
  </si>
  <si>
    <t>Programmet fra 27.07.2026 (arket «Styrketrening»):</t>
  </si>
  <si>
    <t>Fullkropp 3×/uke (man/ons/fre) i antagonist-supersett – A1+A2, B1+B2, C1+C2. Reell hvile 3–4 min per løft, økt ≈ 50 min (økt C ≈ 30 min).</t>
  </si>
  <si>
    <t>3–5 reps på hovedløft med 1–3 reps igjen på lager (RIR 1–3). Dobbel progresjon: øverste rep-tall i alle sett med god teknikk → +2,5 kg og start nederst.</t>
  </si>
  <si>
    <t>Fase 1–3 (vektnedgang): øktene skal bevare muskelmasse og løft – ikke PR-jakt. Dedikert styrkeblokk (benk mot 100 kg) kommer etter at 63 kg er stabilisert.</t>
  </si>
  <si>
    <t>Sum-logikken er videreført fra det gamle arket: sum per øvelse = SUMPRODUCT(vekt, reps) og totalsum per økt = sum av vekt × reps per sett-rad. Øvelser merket (6) – Sidehev, Hengende beinhev, Facepulls, Pallof-press – multipliseres konsekvent med 0,25 begge steder (i det gamle arket var faktoren inkonsistent: 0,1/0,5 i øvelsessum, 0,25 i totalsum).</t>
  </si>
  <si>
    <t>Pullups/chins/dips: før opp total belastning = kroppsvekt + eventuell ekstra vekt (trekk fra avlastning hvis strikk/maskin).</t>
  </si>
  <si>
    <t>Hengende beinhev og Pallof-press: før opp belastningen du bruker (kg på kabel/strikk-anslag; kroppsvektdelen kan utelates). Progresjon = saktere tempo, høyere løft, tyngre strikk – ikke bare flere reps. Teller uansett bare 0,25 i summene.</t>
  </si>
  <si>
    <t>Avslutning hver økt (5 min): økt A = dyp knebøy-hold + hoftebøyer-tøying, økt B = skulder-/thorakalmobilitet.</t>
  </si>
  <si>
    <t>100 pushups kjøres som eget spor utenom gymøktene (grease the groove, 4–5 sett/dag på 50–60 % av maks) – aldri samme dag som økt A. Makstest hver 3. uke.</t>
  </si>
  <si>
    <t>Historiske økter (mai–juli 2025 og eldre) ligger på arket «Styrketrening (historikk)» med det gamle programmet beskrevet over.</t>
  </si>
  <si>
    <t>(7)</t>
  </si>
  <si>
    <t>(8)</t>
  </si>
  <si>
    <t>Én rad per økt. Styrke: skriv bare «Økt A/B/C» — detaljene ligger på Styrketrening-arket.</t>
  </si>
  <si>
    <t>Type</t>
  </si>
  <si>
    <t>Beskrivelse</t>
  </si>
  <si>
    <t>Varighet (min)</t>
  </si>
  <si>
    <t>Distanse (km)</t>
  </si>
  <si>
    <t>Intensitet</t>
  </si>
  <si>
    <t>TRENINGSOVERSIKT — HØST 2026</t>
  </si>
  <si>
    <t>Farge = treningsform (fra Treningslogg). Tom celle = hviledag.</t>
  </si>
  <si>
    <t>MAN</t>
  </si>
  <si>
    <t>TIR</t>
  </si>
  <si>
    <t>ONS</t>
  </si>
  <si>
    <t>TOR</t>
  </si>
  <si>
    <t>FRE</t>
  </si>
  <si>
    <t>LØR</t>
  </si>
  <si>
    <t>SØN</t>
  </si>
  <si>
    <t>ØKTER</t>
  </si>
  <si>
    <t>DAGER</t>
  </si>
  <si>
    <t>TEGNFORKLARING</t>
  </si>
  <si>
    <t>Styrketrening</t>
  </si>
  <si>
    <t>Løping</t>
  </si>
  <si>
    <t>Sykling</t>
  </si>
  <si>
    <t>Svømming</t>
  </si>
  <si>
    <t>Karate</t>
  </si>
  <si>
    <t>Klatring</t>
  </si>
  <si>
    <t>Annet</t>
  </si>
  <si>
    <t>DEMO – Økt A</t>
  </si>
  <si>
    <t>DEMO – intervaller</t>
  </si>
  <si>
    <t>DEMO – rolig</t>
  </si>
  <si>
    <t>DEMO – Økt B</t>
  </si>
  <si>
    <t>DEMO – pendling</t>
  </si>
  <si>
    <t>DEMO – smartsykkel</t>
  </si>
  <si>
    <t>DEMO – 1000 m</t>
  </si>
  <si>
    <t>DEMO – Økt C</t>
  </si>
  <si>
    <t>DEMO – med Hedvig</t>
  </si>
  <si>
    <t>DEMO – buldring</t>
  </si>
  <si>
    <t>DEMO – mobilitet</t>
  </si>
  <si>
    <t>DEMO</t>
  </si>
  <si>
    <t>Uke 31 er fylt med demo-økter. Slett DEMO-radene i Treningslogg for å nullstille.</t>
  </si>
  <si>
    <t>▄</t>
  </si>
  <si>
    <t>tom celle</t>
  </si>
  <si>
    <t>hviledag</t>
  </si>
  <si>
    <t>fargebjelke under dagen = andre økttype samme dag</t>
  </si>
  <si>
    <t>flere enn to typer: bjelken viser type nr. 2 i listen over</t>
  </si>
  <si>
    <t>Én rad per dag. Fyll inn kaloriunderskudd, vekt og livvidde — Vekt-arket henter alt herfra.</t>
  </si>
  <si>
    <t>TRENINGSLOGG — HØST 2026</t>
  </si>
  <si>
    <t>Netto kaloriunderskudd per dag → estimert vs. faktisk vekttap. Alle dagsdata føres i Dagslogg.</t>
  </si>
  <si>
    <t>Fase 1 (uke 31–40). Fyll inn vekt og reps i de blå cellene — summene regnes automatisk.</t>
  </si>
  <si>
    <t>GUIDE — HELSE 2026</t>
  </si>
  <si>
    <t>Teknisk dokumentasjon av arbeidsboken. Les denne før du endrer noe. Sist oppdatert av Claude 28.07.2026.</t>
  </si>
  <si>
    <t>1 · ARKOVERSIKT</t>
  </si>
  <si>
    <t>Guide</t>
  </si>
  <si>
    <t>Dette arket. Ren dokumentasjon, ingen formler andre ark er avhengige av.</t>
  </si>
  <si>
    <t>Oversikt</t>
  </si>
  <si>
    <t>Visuell kalender uke 31–51: fargekodede dager etter treningsform. Kun formler + betinget formatering — leser fra Treningslogg. Ingen manuell inntasting.</t>
  </si>
  <si>
    <t>Kaloriunderskudd og vekttap per uke. Henter alle dagsdata fra Dagslogg. Manuell inntasting bare i forutsetningsblokken og MÅL/DAG-kolonnen.</t>
  </si>
  <si>
    <t>Dagslogg</t>
  </si>
  <si>
    <t>PRIMÆR INNTASTING for kropp/kalorier. Én rad per dag 27.07–20.12.2026. Brukeren fører Minus, Vekt, Vidde, Kommentar.</t>
  </si>
  <si>
    <t>Treningslogg</t>
  </si>
  <si>
    <t>PRIMÆR INNTASTING for styrke. 30 øktblokker (fase 1, uke 31–40) med vekt/reps per sett og automatiske summer.</t>
  </si>
  <si>
    <t>Kommentarer</t>
  </si>
  <si>
    <t>Fotnoter (1)–(8) som øvelsesnavn viser til, samt beskrivelse av både gammelt og nåværende program.</t>
  </si>
  <si>
    <t>Styrketrening (historikk)</t>
  </si>
  <si>
    <t>ARKIV — RØR IKKE. Gammelt syklusprogram (16/8/4 RM) med loggede økter fra 2025. Beholdt for sammenligning av løft over tid.</t>
  </si>
  <si>
    <t>PRIMÆR INNTASTING for trening. Én rad per økt. Styrkeøkter føres kort («Økt A/B/C») — detaljene ligger på Styrketrening.</t>
  </si>
  <si>
    <t>2 · DATAFLYT</t>
  </si>
  <si>
    <t>Dagslogg  ──(dato-oppslag)─→  Vekt (MINUS-celler, SNITTVEKT, SNITTVIDDE)  ─→  status- og grafdata</t>
  </si>
  <si>
    <t>Treningslogg  ──(dato + type)─→  Oversikt (cellefarge, fargebjelke, ØKTER, DAGER)</t>
  </si>
  <si>
    <t>Styrketrening står alene — ingen andre ark leser fra den. Treningslogg viser bare til den i tekst.</t>
  </si>
  <si>
    <t>Alle datoer stammer fra ÉN kilde: Vekt!$E$4 (startdato). Endre den, og hele arbeidsboken flytter seg.</t>
  </si>
  <si>
    <t>3 · VEKT</t>
  </si>
  <si>
    <t>Forutsetninger B3:F7 — E4 startdato (27.07.2026), E5 startvekt (77,45), E6 startlivvidde (90), E7 kcal per kg (7500). Alt annet refererer hit; ingen av disse tallene skal hardkodes i formler.</t>
  </si>
  <si>
    <t>Status R3:U10 — underskudd hittil, måloppnåelse %, estimert tap, faktisk tap, livvidde-reduksjon, totalt mål, fremskrevet sluttresultat. Alle formler.</t>
  </si>
  <si>
    <t>Matrise rad 13 = kolonneoverskrift. Rad 14–34 = uke 31–51 (én rad per uke). Rad 35 = TOTALT.</t>
  </si>
  <si>
    <t>Kolonner: B måned · C uke · D:Q sju dagpar (DATO/MINUS) · R SUM UKE · S UKEMÅL · T MÅL/DAG (eneste inputkolonne, 1000→600 kcal) · U EST. TAP · V EST. VEKT · W SNITTVEKT · X AVVIK · Y SNITTVIDDE.</t>
  </si>
  <si>
    <t>MINUS-cellene er IKKE input: =IF(COUNTIFS(Dagslogg[Dato];dato;Dagslogg[Minus];"&lt;&gt;")=0;"";SUMIFS(...)) — tom hvis dagen ikke er logget, 0 hvis 0 er logget.</t>
  </si>
  <si>
    <t>SNITTVEKT/SNITTVIDDE = AVERAGEIFS over ukens sju datoer — snitt kun over de dagene som faktisk er målt (delvis uke håndteres riktig).</t>
  </si>
  <si>
    <t>UKEMÅL = MÅL/DAG × antall loggede dager i uken. EST. TAP = SUM UKE / E7. Frosne ruter: A1:C13. Grafdata i Z25:AB47 (NA() for ulogget uke) — ikke rediger.</t>
  </si>
  <si>
    <t>4 · DAGSLOGG</t>
  </si>
  <si>
    <t>Excel-tabell «Dagslogg», område A3:G150. Kolonner: Dato · Uke · Ukedag · Minus · Vekt · Vidde · Kommentar.</t>
  </si>
  <si>
    <t>Rad 4–150 = 147 dager, 27.07–20.12.2026. Dato/Uke/Ukedag er formler (=Vekt!$E$4+ROW()-4, ISOWEEKNUM, TEXT). Minus/Vekt/Vidde/Kommentar er input.</t>
  </si>
  <si>
    <t>Dagens rad markeres av betinget formatering (=$A4=TODAY()). Frosne ruter: rad 1–3. Bruk strukturerte referanser (Dagslogg[Kolonne]) i nye formler.</t>
  </si>
  <si>
    <t>5 · TRENINGSLOGG</t>
  </si>
  <si>
    <t>Excel-tabell «Treningslogg», område A3:G203. Kolonner: Dato · Type · Beskrivelse · Varighet (min) · Distanse (km) · Intensitet · Kommentar.</t>
  </si>
  <si>
    <t>Type har nedtrekksliste med presis ordlyd: Styrketrening, Løping, Sykling, Svømming, Karate, Klatring, Annet. Oversikt matcher på EKSAKT denne teksten — endres et navn, må alle 13 regler på Oversikt oppdateres.</t>
  </si>
  <si>
    <t>Intensitet har nedtrekk: Rolig (sone 2), Terskel, Hard, Blandet. Flere økter samme dag = flere rader med samme dato (det er meningen).</t>
  </si>
  <si>
    <t>6 · OVERSIKT</t>
  </si>
  <si>
    <t>Kalender B5:L47. TO RADER PER UKE: hovedrad (like radnr, 22 pkt, viser dagtall) + bjelkerad rett under (odde radnr, 7 pkt, innhold skjult med format ";;;").</t>
  </si>
  <si>
    <t>13 betingede formateringsregler på D6:J47: 6 bjelkeregler (ISODD(ROW()) + type finnes + type høyere i listen finnes) først, deretter 7 fyllregler (ISEVEN(ROW()) + type finnes). Alle stopIfTrue=true, prioritet 0–12 i legendrekkefølge.</t>
  </si>
  <si>
    <t>Hovedfarge = første treningsform i legendrekkefølgen som finnes den dagen. Bjelken = nummer to. Ved tre eller flere typer vises fortsatt bare nr. 2.</t>
  </si>
  <si>
    <t>Tegnforklaring N5:O28 — ligger bevisst bare på hovedrader (like radnr), ellers klippes teksten av de 7 punkts bjelkeradene.</t>
  </si>
  <si>
    <t>7 · STYRKETRENING</t>
  </si>
  <si>
    <t>30 øktblokker for fase 1 (uke 31–40 × 3 økter). Blokk nr. b starter i rad 10 + b×12, der b = (uke−31)×3 + økt (Økt A=0, B=1, C=2). Første blokk rad 10–20, siste rad 358–368.</t>
  </si>
  <si>
    <t>Radmønster innen en blokk (offset fra blokkstart): +0 økttittel · +1 øvelsesnavn · +2 dato + mål (sett×reps) · +3 Vekt/Reps-etiketter · +4 Oppvarming · +5 til +8 Sett 1–4 · +9 Sum · +10 Kommentar.</t>
  </si>
  <si>
    <t>Kolonner: B etiketter · C:N seks øvelsespar (Vekt/Reps) · O totalsum. Økt C bruker bare fire øvelser — K:N er grået ut der.</t>
  </si>
  <si>
    <t>GJENSTÅR: bare fase 1 er bygget. Fase 2 (uke 41+, etter vedlikeholdspause 1) må legges til når programmet er justert — bygg videre med samme blokkformel (rad 10+b×12).</t>
  </si>
  <si>
    <t>8 · KOMMENTARER</t>
  </si>
  <si>
    <t>Fotnoter (1)–(6) tilhører det gamle programmet og øvelsesnavnene på historikk-arket. (7) og (8) er nye og brukes av dagens program. Øvelsesnavn viser til dem i parentes, f.eks. «Pullups (7)».</t>
  </si>
  <si>
    <t>9 · FARGER OG KONVENSJONER</t>
  </si>
  <si>
    <t>Varm palett. Hovedoverskrift/ramme #A0392B · underoverskrift #C4671E · aksent #D9A125 · positivt #6E8B5A · lys bunn #FBF0E2 og #F7F1E8 · tekst #6B5B4E og #B39B84 · tittel #7A3B1F.</t>
  </si>
  <si>
    <t>Treningsformer (samme farger på Oversikt og i tegnforklaring): Styrketrening #A0392B · Løping #C4671E · Sykling #D9A125 · Svømming #6E8B5A · Karate #7D3C58 · Klatring #4E6E75 · Annet #9A8878.</t>
  </si>
  <si>
    <t>Felles for alle arbeidsark: tittel i B1 (16 pkt halvfet #7A3B1F), kursiv undertittel i B2, rutenett av, fargekodet arkfane, tabellstil TableStyleMedium3.</t>
  </si>
  <si>
    <t>Tallformat: null vises som «–», negative tall i parentes, prosent med én desimal, datoer som dd.mm.yyyy (Dagslogg) eller «ddd dd.mm.yy» (Styrketrening). Språk: norsk bokmål gjennomgående.</t>
  </si>
  <si>
    <t>10 · REGLER FOR CLAUDE</t>
  </si>
  <si>
    <t>1. RØR IKKE «Styrketrening (historikk)». Den er arkiv.</t>
  </si>
  <si>
    <t>2. Skriv aldri tall rett inn i Vekt-matrisens MINUS-celler eller SNITTVEKT/SNITTVIDDE — de er formler. All dagsdata inn i Dagslogg.</t>
  </si>
  <si>
    <t>3. Endre aldri sum-logikken på Styrketrening (SUMPRODUCT + 0,25-faktor). Brukeren sammenligner mot historiske tall.</t>
  </si>
  <si>
    <t>4. Nye datoer skal alltid avledes fra Vekt!$E$4, aldri hardkodes.</t>
  </si>
  <si>
    <t>5. Bruk strukturerte referanser mot tabellene (Dagslogg[...], Treningslogg[...]) så nye rader fanges opp.</t>
  </si>
  <si>
    <t>6. Rydd alltid opp prøvedata etter testing, og les tilbake for å bekrefte at det er borte.</t>
  </si>
  <si>
    <t>7. Skjul aldri rader/kolonner — bruk gruppering hvis noe skal kunne kollapses.</t>
  </si>
  <si>
    <t>8. Endres et treningsformnavn i Treningslogg, må alle 13 regler på Oversikt bygges om (formlene inneholder navnet som tekst).</t>
  </si>
  <si>
    <t>11 · TEKNISKE FALLGRUVER</t>
  </si>
  <si>
    <t>Betinget formatering: kantlinjer kan bare være TYNNE, og stilen «Double» avvises. Derfor løses «to farger samme dag» med en egen bjelkerad, ikke med kantlinje.</t>
  </si>
  <si>
    <t>numberFormat må settes som 1×1-array for å kringkastes over et større område — [["d"]] virker, [["d","d"]] over 21×2 feiler.</t>
  </si>
  <si>
    <t>getRange() med flerområde-streng ("A1:B2,D1:E2") feiler — bruk én range per kall, eller getRanges().</t>
  </si>
  <si>
    <t>Store skrivinger på Styrketrening (368 rader) må deles i biter, ellers time-out. Del gjerne i fire blokker à ca. 90 rader.</t>
  </si>
  <si>
    <t>Sammenslåtte celler: Oversikt har 84 merges (B/C/K/L per uke) og Styrketrening merger øvelsesnavn over kolonnepar. Sjekk mergedRanges før du limer inn over dem.</t>
  </si>
  <si>
    <t>Fotnotetekst som «(7)» må skrives med tekstformat (@), ellers tolker Excel det som −7.</t>
  </si>
  <si>
    <t>12 · KILDE</t>
  </si>
  <si>
    <t>Programmet arket bygger på: «Trenings- og kostholdsprogram» (fase 1–3 vektplan, fullkropp 3×/uke supersett, løpeprogram, kosthold). Mål: 78 → 63 kg netto, livvidde 92 → 78–81 cm, halvmaraton under 1:25 på lang sikt. Uke 31–40 = fase 1, deretter vedlikeholdspause.</t>
  </si>
  <si>
    <t>Sju ark: tre er inntastingsark (Dagslogg, Treningslogg, Styrketrening), tre er beregning og visning (Vekt, Oversikt, Kommentarer), ett er arkiv.</t>
  </si>
  <si>
    <t>Uke nr. n ligger i rad 6+2n regnet fra uke 31 (uke 31 = rad 6–7, uke 32 = rad 8–9 osv.). Kolonner: B måned · C uke · D:J MAN–SØN · K ØKTER · L DAGER. B/C/K/L er sammenslått over de to radene per uke.</t>
  </si>
  <si>
    <t>SUM-LOGIKK (arvet fra historikk-arket, skal ikke endres): øvelsessum = SUMPRODUCT(vekt; reps). Lette/høyreps-øvelser merket (6) ganges med 0,25 så de ikke blåser opp totalen. O-kolonnen summerer per sett-rad med samme 0,25-faktor, og O(+9) = SUM av sett-radene.</t>
  </si>
  <si>
    <t>Øvelser med 0,25-faktor i fase 1: Sidehev, Hengende beinhev, Facepulls, Pallof-press. Kroppsvektsøvelser (Pullups, Chins, Dips) føres med kroppsvekt + evt. tillegg i vektfeltet — se fotnote (7).</t>
  </si>
  <si>
    <t>Uke 31 inneholder forslag til startvekter i KURSIV ORANSJE (#C55A11) med notat om begrunnelsen. Kursiv oransje = forslag, ikke logget data. Blå tekst = brukerens input.</t>
  </si>
  <si>
    <t>Tekstfarger som betyr noe: BLÅ = input brukeren fyller inn · SVART = formel på samme ark · GRØNN = henter fra annet ark · KURSIV ORANSJE = forslag fra Claude, ikke faktiske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</si>
</sst>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(* #,##0_);_(* \(#,##0\);_(* &quot;-&quot;_);_(@_)"/>
    <numFmt numFmtId="164" formatCode="_(* #,##0_);_(* \(#,##0\);_(* &quot;-&quot;??_);_(@_)"/>
    <numFmt numFmtId="165" formatCode="dd\.mm\.yyyy"/>
    <numFmt numFmtId="166" formatCode="#,##0;\(#,##0\);&quot;–&quot;"/>
    <numFmt numFmtId="167" formatCode="0.0\ %"/>
    <numFmt numFmtId="168" formatCode="0.00;\(0.00\);&quot;–&quot;"/>
    <numFmt numFmtId="169" formatCode="0.0;\(0.0\);&quot;–&quot;"/>
    <numFmt numFmtId="170" formatCode="dd\.mm"/>
    <numFmt numFmtId="171" formatCode="0.0"/>
    <numFmt numFmtId="172" formatCode="ddd\ dd\.mm\.yy"/>
    <numFmt numFmtId="173" formatCode="#,##0.#"/>
    <numFmt numFmtId="174" formatCode="d"/>
    <numFmt numFmtId="175" formatCode="0;\-0;&quot;–&quot;"/>
    <numFmt numFmtId="176" formatCode=";;;"/>
    <numFmt numFmtId="177" formatCode="0.0%;\(0.0%\);&quot;–&quot;"/>
    <numFmt numFmtId="178" formatCode="#,##0.0&quot; kg&quot;;\(#,##0.0&quot; kg&quot;\);&quot;–&quot;"/>
    <numFmt numFmtId="179" formatCode="#,##0.0&quot; cm&quot;;\(#,##0.0&quot; cm&quot;\);&quot;–&quot;"/>
    <numFmt numFmtId="180" formatCode="#,##0&quot; kcal&quot;;\(#,##0&quot; kcal&quot;\);&quot;–&quot;"/>
    <numFmt numFmtId="181" formatCode="0&quot; av 7&quot;;\(0&quot; av 7&quot;\);&quot;–&quot;"/>
    <numFmt numFmtId="182" formatCode="0%;\(0%\);&quot;–&quot;"/>
    <numFmt numFmtId="183" formatCode="#,##0.00&quot; kg&quot;;\(#,##0.00&quot; kg&quot;\);&quot;–&quot;"/>
  </numFmts>
  <fonts count="6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BFBFBF"/>
      <name val="Calibri"/>
      <family val="2"/>
      <scheme val="minor"/>
    </font>
    <font>
      <b/>
      <sz val="9"/>
      <color rgb="FFBFBFBF"/>
      <name val="Calibri"/>
      <family val="2"/>
      <scheme val="minor"/>
    </font>
    <font>
      <b/>
      <sz val="12"/>
      <color rgb="FFBFBFBF"/>
      <name val="Calibri"/>
      <family val="2"/>
      <scheme val="minor"/>
    </font>
    <font>
      <b/>
      <sz val="9"/>
      <color rgb="FF1F3864"/>
      <name val="Calibri"/>
      <family val="2"/>
      <scheme val="minor"/>
    </font>
    <font>
      <sz val="9"/>
      <color rgb="FF595959"/>
      <name val="Calibri"/>
      <family val="2"/>
      <scheme val="minor"/>
    </font>
    <font>
      <i/>
      <sz val="12"/>
      <color rgb="FFC55A11"/>
      <name val="Calibri"/>
      <family val="2"/>
      <scheme val="minor"/>
    </font>
    <font>
      <b/>
      <sz val="9"/>
      <color rgb="FFC55A11"/>
      <name val="Calibri"/>
      <family val="2"/>
      <scheme val="minor"/>
    </font>
    <font>
      <i/>
      <sz val="9"/>
      <color rgb="FFC55A11"/>
      <name val="Calibri"/>
      <family val="2"/>
      <scheme val="minor"/>
    </font>
    <font>
      <sz val="11"/>
      <color rgb="FFA6A6A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6B2D1A"/>
      <name val="Calibri"/>
      <family val="2"/>
      <scheme val="minor"/>
    </font>
    <font>
      <sz val="9"/>
      <color rgb="FF6B5B4E"/>
      <name val="Calibri"/>
      <family val="2"/>
      <scheme val="minor"/>
    </font>
    <font>
      <sz val="11"/>
      <color rgb="FFB39B84"/>
      <name val="Calibri"/>
      <family val="2"/>
      <scheme val="minor"/>
    </font>
    <font>
      <i/>
      <sz val="9"/>
      <color rgb="FF6B5B4E"/>
      <name val="Calibri"/>
      <family val="2"/>
      <scheme val="minor"/>
    </font>
    <font>
      <sz val="12"/>
      <color rgb="FF9A8878"/>
      <name val="Calibri"/>
      <family val="2"/>
      <scheme val="minor"/>
    </font>
    <font>
      <sz val="9"/>
      <color rgb="FF9A8878"/>
      <name val="Calibri"/>
      <family val="2"/>
      <scheme val="minor"/>
    </font>
    <font>
      <sz val="9"/>
      <color rgb="FFB39B84"/>
      <name val="Calibri"/>
      <family val="2"/>
      <scheme val="minor"/>
    </font>
    <font>
      <sz val="10"/>
      <color rgb="FF6B5B4E"/>
      <name val="Calibri"/>
      <family val="2"/>
      <scheme val="minor"/>
    </font>
    <font>
      <i/>
      <sz val="8"/>
      <color rgb="FF6B5B4E"/>
      <name val="Calibri"/>
      <family val="2"/>
      <scheme val="minor"/>
    </font>
    <font>
      <b/>
      <sz val="16"/>
      <color rgb="FF7A3B1F"/>
      <name val="Calibri"/>
      <family val="2"/>
      <scheme val="minor"/>
    </font>
    <font>
      <i/>
      <sz val="10"/>
      <color rgb="FF6B5B4E"/>
      <name val="Calibri"/>
      <family val="2"/>
      <scheme val="minor"/>
    </font>
    <font>
      <b/>
      <sz val="10"/>
      <color rgb="FF7A3B1F"/>
      <name val="Calibri"/>
      <family val="2"/>
      <scheme val="minor"/>
    </font>
    <font>
      <sz val="10"/>
      <color rgb="FF3F3128"/>
      <name val="Calibri"/>
      <family val="2"/>
      <scheme val="minor"/>
    </font>
    <font>
      <b/>
      <sz val="16"/>
      <color rgb="FF7A3B1F"/>
      <name val="Calibri"/>
      <family val="2"/>
      <scheme val="minor"/>
    </font>
    <font>
      <i/>
      <sz val="10"/>
      <color rgb="FF6B5B4E"/>
      <name val="Calibri"/>
      <family val="2"/>
      <scheme val="minor"/>
    </font>
    <font>
      <b/>
      <sz val="11"/>
      <color rgb="FFC4671E"/>
      <name val="Calibri"/>
      <family val="2"/>
      <scheme val="minor"/>
    </font>
    <font>
      <b/>
      <sz val="8"/>
      <color rgb="FFB39B84"/>
      <name val="Calibri"/>
      <family val="2"/>
      <scheme val="minor"/>
    </font>
    <font>
      <b/>
      <sz val="18"/>
      <color rgb="FF7A3B1F"/>
      <name val="Calibri"/>
      <family val="2"/>
      <scheme val="minor"/>
    </font>
    <font>
      <i/>
      <sz val="8"/>
      <color rgb="FF6B5B4E"/>
      <name val="Calibri"/>
      <family val="2"/>
      <scheme val="minor"/>
    </font>
    <font>
      <b/>
      <sz val="14"/>
      <color rgb="FF7A3B1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0"/>
      <color rgb="FF6B5B4E"/>
      <name val="Calibri"/>
      <family val="2"/>
      <scheme val="minor"/>
    </font>
    <font>
      <b/>
      <sz val="10"/>
      <color rgb="FF7A3B1F"/>
      <name val="Calibri"/>
      <family val="2"/>
      <scheme val="minor"/>
    </font>
    <font>
      <i/>
      <sz val="8"/>
      <color rgb="FFB39B84"/>
      <name val="Calibri"/>
      <family val="2"/>
      <scheme val="minor"/>
    </font>
    <font>
      <b/>
      <sz val="10"/>
      <color rgb="FFA0392B"/>
      <name val="Calibri"/>
      <family val="2"/>
      <scheme val="minor"/>
    </font>
    <font>
      <b/>
      <sz val="10"/>
      <color rgb="FFC4671E"/>
      <name val="Calibri"/>
      <family val="2"/>
      <scheme val="minor"/>
    </font>
    <font>
      <b/>
      <sz val="10"/>
      <color rgb="FFD9A125"/>
      <name val="Calibri"/>
      <family val="2"/>
      <scheme val="minor"/>
    </font>
    <font>
      <b/>
      <sz val="10"/>
      <color rgb="FF6E8B5A"/>
      <name val="Calibri"/>
      <family val="2"/>
      <scheme val="minor"/>
    </font>
    <font>
      <b/>
      <sz val="10"/>
      <color rgb="FF7D3C58"/>
      <name val="Calibri"/>
      <family val="2"/>
      <scheme val="minor"/>
    </font>
    <font>
      <b/>
      <sz val="10"/>
      <color rgb="FF4E6E75"/>
      <name val="Calibri"/>
      <family val="2"/>
      <scheme val="minor"/>
    </font>
    <font>
      <b/>
      <sz val="10"/>
      <color rgb="FF9A887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D9E2F2"/>
        <bgColor indexed="64"/>
      </patternFill>
    </fill>
    <fill>
      <patternFill patternType="solid">
        <fgColor rgb="FFA0392B"/>
        <bgColor indexed="64"/>
      </patternFill>
    </fill>
    <fill>
      <patternFill patternType="solid">
        <fgColor rgb="FFC4671E"/>
        <bgColor indexed="64"/>
      </patternFill>
    </fill>
    <fill>
      <patternFill patternType="solid">
        <fgColor rgb="FFD9A125"/>
        <bgColor indexed="64"/>
      </patternFill>
    </fill>
    <fill>
      <patternFill patternType="solid">
        <fgColor rgb="FF6E8B5A"/>
        <bgColor indexed="64"/>
      </patternFill>
    </fill>
    <fill>
      <patternFill patternType="solid">
        <fgColor rgb="FF7D3C58"/>
        <bgColor indexed="64"/>
      </patternFill>
    </fill>
    <fill>
      <patternFill patternType="solid">
        <fgColor rgb="FF4E6E75"/>
        <bgColor indexed="64"/>
      </patternFill>
    </fill>
    <fill>
      <patternFill patternType="solid">
        <fgColor rgb="FF9A8878"/>
        <bgColor indexed="64"/>
      </patternFill>
    </fill>
    <fill>
      <patternFill patternType="solid">
        <fgColor rgb="FFFBF0E2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FBF0E2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A0392B"/>
        <bgColor indexed="64"/>
      </patternFill>
    </fill>
  </fills>
  <borders count="1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305496"/>
      </top>
      <bottom/>
      <diagonal/>
    </border>
    <border>
      <left/>
      <right/>
      <top/>
      <bottom style="medium">
        <color rgb="FF305496"/>
      </bottom>
      <diagonal/>
    </border>
    <border>
      <left style="medium">
        <color rgb="FF305496"/>
      </left>
      <right/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/>
      <top style="medium">
        <color rgb="FF305496"/>
      </top>
      <bottom/>
      <diagonal/>
    </border>
    <border>
      <left style="medium">
        <color rgb="FF305496"/>
      </left>
      <right/>
      <top/>
      <bottom/>
      <diagonal/>
    </border>
    <border>
      <left style="medium">
        <color rgb="FF305496"/>
      </left>
      <right/>
      <top/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/>
      <diagonal/>
    </border>
    <border>
      <left/>
      <right style="medium">
        <color rgb="FF305496"/>
      </right>
      <top/>
      <bottom/>
      <diagonal/>
    </border>
    <border>
      <left/>
      <right style="medium">
        <color rgb="FF305496"/>
      </right>
      <top/>
      <bottom style="medium">
        <color rgb="FF305496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medium">
        <color rgb="FF30549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05496"/>
      </top>
      <bottom style="thin">
        <color rgb="FFBFBFBF"/>
      </bottom>
      <diagonal/>
    </border>
    <border>
      <left style="thin">
        <color rgb="FFBFBFBF"/>
      </left>
      <right/>
      <top style="medium">
        <color rgb="FF305496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305496"/>
      </bottom>
      <diagonal/>
    </border>
    <border>
      <left style="medium">
        <color rgb="FF30549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305496"/>
      </left>
      <right style="thin">
        <color rgb="FFBFBFBF"/>
      </right>
      <top style="thin">
        <color rgb="FFBFBFBF"/>
      </top>
      <bottom style="medium">
        <color rgb="FF305496"/>
      </bottom>
      <diagonal/>
    </border>
    <border>
      <left style="thin">
        <color rgb="FFBFBFBF"/>
      </left>
      <right style="medium">
        <color rgb="FF305496"/>
      </right>
      <top style="medium">
        <color rgb="FF305496"/>
      </top>
      <bottom style="thin">
        <color rgb="FFBFBFBF"/>
      </bottom>
      <diagonal/>
    </border>
    <border>
      <left style="thin">
        <color rgb="FFBFBFBF"/>
      </left>
      <right style="medium">
        <color rgb="FF305496"/>
      </right>
      <top style="thin">
        <color rgb="FFBFBFBF"/>
      </top>
      <bottom style="thin">
        <color rgb="FFBFBFBF"/>
      </bottom>
      <diagonal/>
    </border>
    <border>
      <left style="medium">
        <color rgb="FF305496"/>
      </left>
      <right/>
      <top style="medium">
        <color rgb="FF305496"/>
      </top>
      <bottom style="thin">
        <color rgb="FFBFBFBF"/>
      </bottom>
      <diagonal/>
    </border>
    <border>
      <left style="medium">
        <color rgb="FF305496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05496"/>
      </top>
      <bottom style="medium">
        <color rgb="FF305496"/>
      </bottom>
      <diagonal/>
    </border>
    <border>
      <left style="thin">
        <color rgb="FFBFBFBF"/>
      </left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 style="thin">
        <color rgb="FFBFBFBF"/>
      </bottom>
      <diagonal/>
    </border>
    <border>
      <left/>
      <right style="medium">
        <color rgb="FF305496"/>
      </right>
      <top style="thin">
        <color rgb="FFBFBFBF"/>
      </top>
      <bottom style="thin">
        <color rgb="FFBFBFBF"/>
      </bottom>
      <diagonal/>
    </border>
    <border>
      <left/>
      <right style="medium">
        <color rgb="FF305496"/>
      </right>
      <top style="thin">
        <color rgb="FFBFBFBF"/>
      </top>
      <bottom style="medium">
        <color rgb="FF305496"/>
      </bottom>
      <diagonal/>
    </border>
    <border>
      <left style="medium">
        <color rgb="FF305496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rgb="FF305496"/>
      </right>
      <top style="thin">
        <color rgb="FFBFBFBF"/>
      </top>
      <bottom/>
      <diagonal/>
    </border>
    <border>
      <left/>
      <right style="medium">
        <color rgb="FF305496"/>
      </right>
      <top style="thin">
        <color rgb="FFBFBFBF"/>
      </top>
      <bottom/>
      <diagonal/>
    </border>
    <border>
      <left/>
      <right style="thin">
        <color rgb="FFBFBFBF"/>
      </right>
      <top style="medium">
        <color rgb="FF305496"/>
      </top>
      <bottom style="medium">
        <color rgb="FF305496"/>
      </bottom>
      <diagonal/>
    </border>
    <border>
      <left style="thin">
        <color rgb="FFBFBFBF"/>
      </left>
      <right/>
      <top style="medium">
        <color rgb="FF305496"/>
      </top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medium">
        <color rgb="FF305496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808080"/>
      </right>
      <top/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medium">
        <color rgb="FF305496"/>
      </bottom>
      <diagonal/>
    </border>
    <border>
      <left/>
      <right/>
      <top style="thin">
        <color rgb="FFBFBFBF"/>
      </top>
      <bottom style="medium">
        <color rgb="FF305496"/>
      </bottom>
      <diagonal/>
    </border>
    <border>
      <left/>
      <right style="medium">
        <color rgb="FF305496"/>
      </right>
      <top/>
      <bottom style="thin">
        <color rgb="FFBFBFBF"/>
      </bottom>
      <diagonal/>
    </border>
    <border>
      <left/>
      <right/>
      <top style="medium">
        <color rgb="FF2F7562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rgb="FF2F7562"/>
      </bottom>
      <diagonal/>
    </border>
    <border>
      <left style="medium">
        <color rgb="FF2F7562"/>
      </left>
      <right/>
      <top style="medium">
        <color rgb="FF2F7562"/>
      </top>
      <bottom/>
      <diagonal/>
    </border>
    <border>
      <left style="medium">
        <color rgb="FF2F7562"/>
      </left>
      <right style="thin">
        <color rgb="FFBFBFBF"/>
      </right>
      <top/>
      <bottom style="thin">
        <color rgb="FFBFBFBF"/>
      </bottom>
      <diagonal/>
    </border>
    <border>
      <left style="medium">
        <color rgb="FF2F756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7562"/>
      </left>
      <right style="thin">
        <color rgb="FFBFBFBF"/>
      </right>
      <top style="thin">
        <color rgb="FFBFBFBF"/>
      </top>
      <bottom style="medium">
        <color rgb="FF2F7562"/>
      </bottom>
      <diagonal/>
    </border>
    <border>
      <left/>
      <right style="medium">
        <color rgb="FF2F7562"/>
      </right>
      <top style="medium">
        <color rgb="FF2F7562"/>
      </top>
      <bottom/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medium">
        <color rgb="FF2F7562"/>
      </bottom>
      <diagonal/>
    </border>
    <border>
      <left/>
      <right/>
      <top style="thin">
        <color rgb="FFBFBFBF"/>
      </top>
      <bottom style="medium">
        <color rgb="FF2F7562"/>
      </bottom>
      <diagonal/>
    </border>
    <border>
      <left/>
      <right style="medium">
        <color rgb="FF2F7562"/>
      </right>
      <top/>
      <bottom style="thin">
        <color rgb="FFBFBFBF"/>
      </bottom>
      <diagonal/>
    </border>
    <border>
      <left/>
      <right style="medium">
        <color rgb="FF2F7562"/>
      </right>
      <top style="thin">
        <color rgb="FFBFBFBF"/>
      </top>
      <bottom style="thin">
        <color rgb="FFBFBFBF"/>
      </bottom>
      <diagonal/>
    </border>
    <border>
      <left/>
      <right style="medium">
        <color rgb="FF2F7562"/>
      </right>
      <top style="thin">
        <color rgb="FFBFBFBF"/>
      </top>
      <bottom style="medium">
        <color rgb="FF2F7562"/>
      </bottom>
      <diagonal/>
    </border>
    <border>
      <left/>
      <right/>
      <top style="medium">
        <color rgb="FF9C5708"/>
      </top>
      <bottom/>
      <diagonal/>
    </border>
    <border>
      <left/>
      <right style="thin">
        <color rgb="FFBFBFBF"/>
      </right>
      <top style="thin">
        <color rgb="FFBFBFBF"/>
      </top>
      <bottom style="medium">
        <color rgb="FF9C570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9C5708"/>
      </bottom>
      <diagonal/>
    </border>
    <border>
      <left style="thin">
        <color rgb="FFBFBFBF"/>
      </left>
      <right/>
      <top style="thin">
        <color rgb="FFBFBFBF"/>
      </top>
      <bottom style="medium">
        <color rgb="FF9C5708"/>
      </bottom>
      <diagonal/>
    </border>
    <border>
      <left style="medium">
        <color rgb="FF9C5708"/>
      </left>
      <right/>
      <top style="medium">
        <color rgb="FF9C5708"/>
      </top>
      <bottom/>
      <diagonal/>
    </border>
    <border>
      <left style="medium">
        <color rgb="FF9C5708"/>
      </left>
      <right style="thin">
        <color rgb="FFBFBFBF"/>
      </right>
      <top/>
      <bottom style="thin">
        <color rgb="FFBFBFBF"/>
      </bottom>
      <diagonal/>
    </border>
    <border>
      <left style="medium">
        <color rgb="FF9C570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C5708"/>
      </left>
      <right style="thin">
        <color rgb="FFBFBFBF"/>
      </right>
      <top style="thin">
        <color rgb="FFBFBFBF"/>
      </top>
      <bottom style="medium">
        <color rgb="FF9C5708"/>
      </bottom>
      <diagonal/>
    </border>
    <border>
      <left/>
      <right style="medium">
        <color rgb="FF9C5708"/>
      </right>
      <top style="medium">
        <color rgb="FF9C5708"/>
      </top>
      <bottom/>
      <diagonal/>
    </border>
    <border>
      <left style="thin">
        <color rgb="FFBFBFBF"/>
      </left>
      <right style="medium">
        <color rgb="FF9C5708"/>
      </right>
      <top/>
      <bottom style="thin">
        <color rgb="FFBFBFBF"/>
      </bottom>
      <diagonal/>
    </border>
    <border>
      <left style="thin">
        <color rgb="FFBFBFBF"/>
      </left>
      <right style="medium">
        <color rgb="FF9C570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9C5708"/>
      </right>
      <top style="thin">
        <color rgb="FFBFBFBF"/>
      </top>
      <bottom style="medium">
        <color rgb="FF9C5708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medium">
        <color rgb="FF9C5708"/>
      </bottom>
      <diagonal/>
    </border>
    <border>
      <left/>
      <right/>
      <top style="thin">
        <color rgb="FFBFBFBF"/>
      </top>
      <bottom style="medium">
        <color rgb="FF9C5708"/>
      </bottom>
      <diagonal/>
    </border>
    <border>
      <left style="medium">
        <color rgb="FFA0392B"/>
      </left>
      <right style="thin">
        <color rgb="FFE5D3BE"/>
      </right>
      <top style="medium">
        <color rgb="FFA0392B"/>
      </top>
      <bottom style="thin">
        <color rgb="FFE0E0E0"/>
      </bottom>
      <diagonal/>
    </border>
    <border>
      <left style="thin">
        <color rgb="FFE5D3BE"/>
      </left>
      <right style="thin">
        <color rgb="FFE5D3BE"/>
      </right>
      <top style="medium">
        <color rgb="FFA0392B"/>
      </top>
      <bottom style="thin">
        <color rgb="FFE0E0E0"/>
      </bottom>
      <diagonal/>
    </border>
    <border>
      <left style="thin">
        <color rgb="FFE5D3BE"/>
      </left>
      <right style="medium">
        <color rgb="FFA0392B"/>
      </right>
      <top style="medium">
        <color rgb="FFA0392B"/>
      </top>
      <bottom style="thin">
        <color rgb="FFE0E0E0"/>
      </bottom>
      <diagonal/>
    </border>
    <border>
      <left style="medium">
        <color rgb="FFA0392B"/>
      </left>
      <right style="thin">
        <color rgb="FFE5D3BE"/>
      </right>
      <top style="thin">
        <color rgb="FFE0E0E0"/>
      </top>
      <bottom/>
      <diagonal/>
    </border>
    <border>
      <left style="thin">
        <color rgb="FFE5D3BE"/>
      </left>
      <right style="thin">
        <color rgb="FFE5D3BE"/>
      </right>
      <top style="thin">
        <color rgb="FFE0E0E0"/>
      </top>
      <bottom/>
      <diagonal/>
    </border>
    <border>
      <left style="thin">
        <color rgb="FFE5D3BE"/>
      </left>
      <right style="thin">
        <color rgb="FFE5D3BE"/>
      </right>
      <top/>
      <bottom/>
      <diagonal/>
    </border>
    <border>
      <left style="thin">
        <color rgb="FFE5D3BE"/>
      </left>
      <right style="medium">
        <color rgb="FFA0392B"/>
      </right>
      <top style="thin">
        <color rgb="FFE0E0E0"/>
      </top>
      <bottom/>
      <diagonal/>
    </border>
    <border>
      <left style="medium">
        <color rgb="FFA0392B"/>
      </left>
      <right style="thin">
        <color rgb="FFE5D3BE"/>
      </right>
      <top/>
      <bottom style="thin">
        <color rgb="FFD0D0D0"/>
      </bottom>
      <diagonal/>
    </border>
    <border>
      <left style="thin">
        <color rgb="FFE5D3BE"/>
      </left>
      <right style="thin">
        <color rgb="FFE5D3BE"/>
      </right>
      <top/>
      <bottom style="thin">
        <color rgb="FFD0D0D0"/>
      </bottom>
      <diagonal/>
    </border>
    <border>
      <left style="thin">
        <color rgb="FFE5D3BE"/>
      </left>
      <right style="medium">
        <color rgb="FFA0392B"/>
      </right>
      <top/>
      <bottom style="thin">
        <color rgb="FFD0D0D0"/>
      </bottom>
      <diagonal/>
    </border>
    <border>
      <left style="medium">
        <color rgb="FFA0392B"/>
      </left>
      <right style="thin">
        <color rgb="FFE5D3BE"/>
      </right>
      <top/>
      <bottom/>
      <diagonal/>
    </border>
    <border>
      <left style="thin">
        <color rgb="FFE5D3BE"/>
      </left>
      <right style="medium">
        <color rgb="FFA0392B"/>
      </right>
      <top/>
      <bottom/>
      <diagonal/>
    </border>
    <border>
      <left style="medium">
        <color rgb="FFA0392B"/>
      </left>
      <right style="thin">
        <color rgb="FFE5D3BE"/>
      </right>
      <top/>
      <bottom style="medium">
        <color rgb="FFA0392B"/>
      </bottom>
      <diagonal/>
    </border>
    <border>
      <left style="thin">
        <color rgb="FFE5D3BE"/>
      </left>
      <right style="thin">
        <color rgb="FFE5D3BE"/>
      </right>
      <top/>
      <bottom style="medium">
        <color rgb="FFA0392B"/>
      </bottom>
      <diagonal/>
    </border>
    <border>
      <left style="thin">
        <color rgb="FFE5D3BE"/>
      </left>
      <right style="medium">
        <color rgb="FFA0392B"/>
      </right>
      <top/>
      <bottom style="medium">
        <color rgb="FFA0392B"/>
      </bottom>
      <diagonal/>
    </border>
    <border>
      <left style="medium">
        <color rgb="FFA0392B"/>
      </left>
      <right/>
      <top/>
      <bottom/>
      <diagonal/>
    </border>
    <border>
      <left style="medium">
        <color rgb="FFA0392B"/>
      </left>
      <right/>
      <top/>
      <bottom style="thin">
        <color rgb="FFEADCC8"/>
      </bottom>
      <diagonal/>
    </border>
    <border>
      <left/>
      <right/>
      <top/>
      <bottom style="thin">
        <color rgb="FFEADCC8"/>
      </bottom>
      <diagonal/>
    </border>
    <border>
      <left style="medium">
        <color rgb="FFA0392B"/>
      </left>
      <right/>
      <top style="thin">
        <color rgb="FFEADCC8"/>
      </top>
      <bottom style="thin">
        <color rgb="FFEADCC8"/>
      </bottom>
      <diagonal/>
    </border>
    <border>
      <left/>
      <right/>
      <top style="thin">
        <color rgb="FFEADCC8"/>
      </top>
      <bottom style="thin">
        <color rgb="FFEADCC8"/>
      </bottom>
      <diagonal/>
    </border>
    <border>
      <left style="medium">
        <color rgb="FFA0392B"/>
      </left>
      <right/>
      <top style="thin">
        <color rgb="FFEADCC8"/>
      </top>
      <bottom/>
      <diagonal/>
    </border>
    <border>
      <left/>
      <right/>
      <top style="thin">
        <color rgb="FFEADCC8"/>
      </top>
      <bottom/>
      <diagonal/>
    </border>
    <border>
      <left style="thin">
        <color rgb="FFB39B84"/>
      </left>
      <right style="thin">
        <color rgb="FFB39B84"/>
      </right>
      <top style="thin">
        <color rgb="FFB39B84"/>
      </top>
      <bottom/>
      <diagonal/>
    </border>
    <border>
      <left style="thin">
        <color rgb="FFB39B84"/>
      </left>
      <right style="thin">
        <color rgb="FFB39B84"/>
      </right>
      <top/>
      <bottom/>
      <diagonal/>
    </border>
    <border>
      <left style="thin">
        <color rgb="FFB39B84"/>
      </left>
      <right style="thin">
        <color rgb="FFB39B84"/>
      </right>
      <top/>
      <bottom style="thin">
        <color rgb="FFB39B84"/>
      </bottom>
      <diagonal/>
    </border>
    <border>
      <left/>
      <right/>
      <top/>
      <bottom style="medium">
        <color rgb="FFA0392B"/>
      </bottom>
      <diagonal/>
    </border>
    <border>
      <left/>
      <right/>
      <top style="thin">
        <color rgb="FFA0392B"/>
      </top>
      <bottom/>
      <diagonal/>
    </border>
  </borders>
  <cellStyleXfs count="1">
    <xf numFmtId="0" fontId="0" fillId="0" borderId="0"/>
  </cellStyleXfs>
  <cellXfs count="344">
    <xf numFmtId="0" fontId="0" fillId="0" borderId="0" xfId="0"/>
    <xf numFmtId="0" fontId="0" fillId="2" borderId="0" xfId="0" applyFill="1"/>
    <xf numFmtId="0" fontId="0" fillId="2" borderId="3" xfId="0" applyFill="1" applyBorder="1"/>
    <xf numFmtId="0" fontId="1" fillId="3" borderId="6" xfId="0" applyFont="1" applyFill="1" applyBorder="1"/>
    <xf numFmtId="0" fontId="1" fillId="4" borderId="7" xfId="0" applyFont="1" applyFill="1" applyBorder="1"/>
    <xf numFmtId="14" fontId="1" fillId="3" borderId="7" xfId="0" applyNumberFormat="1" applyFont="1" applyFill="1" applyBorder="1" applyAlignment="1">
      <alignment horizontal="left"/>
    </xf>
    <xf numFmtId="0" fontId="1" fillId="3" borderId="2" xfId="0" applyFont="1" applyFill="1" applyBorder="1"/>
    <xf numFmtId="164" fontId="0" fillId="4" borderId="4" xfId="0" applyNumberFormat="1" applyFill="1" applyBorder="1"/>
    <xf numFmtId="0" fontId="1" fillId="3" borderId="8" xfId="0" applyFont="1" applyFill="1" applyBorder="1"/>
    <xf numFmtId="0" fontId="1" fillId="3" borderId="10" xfId="0" applyFont="1" applyFill="1" applyBorder="1"/>
    <xf numFmtId="0" fontId="0" fillId="2" borderId="13" xfId="0" applyFill="1" applyBorder="1"/>
    <xf numFmtId="0" fontId="0" fillId="2" borderId="14" xfId="0" applyFill="1" applyBorder="1"/>
    <xf numFmtId="49" fontId="0" fillId="0" borderId="0" xfId="0" applyNumberFormat="1"/>
    <xf numFmtId="164" fontId="0" fillId="4" borderId="15" xfId="0" applyNumberFormat="1" applyFill="1" applyBorder="1"/>
    <xf numFmtId="41" fontId="0" fillId="3" borderId="11" xfId="0" applyNumberFormat="1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18" xfId="0" applyFill="1" applyBorder="1"/>
    <xf numFmtId="41" fontId="0" fillId="3" borderId="0" xfId="0" applyNumberFormat="1" applyFill="1"/>
    <xf numFmtId="164" fontId="0" fillId="3" borderId="16" xfId="0" applyNumberFormat="1" applyFill="1" applyBorder="1" applyAlignment="1">
      <alignment horizontal="left"/>
    </xf>
    <xf numFmtId="41" fontId="0" fillId="3" borderId="11" xfId="0" applyNumberFormat="1" applyFill="1" applyBorder="1" applyAlignment="1">
      <alignment horizontal="right"/>
    </xf>
    <xf numFmtId="0" fontId="1" fillId="3" borderId="13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13" xfId="0" applyFont="1" applyFill="1" applyBorder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14" xfId="0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1" fillId="2" borderId="0" xfId="0" applyFont="1" applyFill="1"/>
    <xf numFmtId="41" fontId="0" fillId="3" borderId="10" xfId="0" applyNumberFormat="1" applyFill="1" applyBorder="1" applyAlignment="1">
      <alignment horizontal="right"/>
    </xf>
    <xf numFmtId="0" fontId="1" fillId="3" borderId="1" xfId="0" applyFont="1" applyFill="1" applyBorder="1"/>
    <xf numFmtId="14" fontId="1" fillId="3" borderId="3" xfId="0" applyNumberFormat="1" applyFont="1" applyFill="1" applyBorder="1" applyAlignment="1">
      <alignment horizontal="left"/>
    </xf>
    <xf numFmtId="0" fontId="1" fillId="4" borderId="3" xfId="0" applyFont="1" applyFill="1" applyBorder="1"/>
    <xf numFmtId="41" fontId="0" fillId="3" borderId="10" xfId="0" applyNumberFormat="1" applyFill="1" applyBorder="1"/>
    <xf numFmtId="41" fontId="0" fillId="3" borderId="13" xfId="0" applyNumberFormat="1" applyFill="1" applyBorder="1"/>
    <xf numFmtId="41" fontId="0" fillId="3" borderId="14" xfId="0" applyNumberFormat="1" applyFill="1" applyBorder="1"/>
    <xf numFmtId="0" fontId="1" fillId="3" borderId="14" xfId="0" applyFont="1" applyFill="1" applyBorder="1" applyAlignment="1">
      <alignment horizontal="right"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1" fillId="3" borderId="11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41" fontId="0" fillId="3" borderId="9" xfId="0" applyNumberForma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41" fontId="0" fillId="3" borderId="8" xfId="0" applyNumberFormat="1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165" fontId="0" fillId="0" borderId="0" xfId="0" applyNumberFormat="1"/>
    <xf numFmtId="0" fontId="1" fillId="0" borderId="0" xfId="0" applyFont="1"/>
    <xf numFmtId="0" fontId="0" fillId="0" borderId="0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166" fontId="1" fillId="0" borderId="28" xfId="0" applyNumberFormat="1" applyFont="1" applyBorder="1" applyAlignment="1">
      <alignment horizontal="center"/>
    </xf>
    <xf numFmtId="167" fontId="1" fillId="0" borderId="28" xfId="0" applyNumberFormat="1" applyFont="1" applyBorder="1" applyAlignment="1">
      <alignment horizontal="center"/>
    </xf>
    <xf numFmtId="168" fontId="1" fillId="0" borderId="28" xfId="0" applyNumberFormat="1" applyFont="1" applyBorder="1" applyAlignment="1">
      <alignment horizontal="center"/>
    </xf>
    <xf numFmtId="169" fontId="1" fillId="0" borderId="28" xfId="0" applyNumberFormat="1" applyFont="1" applyBorder="1" applyAlignment="1">
      <alignment horizontal="center"/>
    </xf>
    <xf numFmtId="168" fontId="1" fillId="0" borderId="29" xfId="0" applyNumberFormat="1" applyFont="1" applyBorder="1" applyAlignment="1">
      <alignment horizontal="center"/>
    </xf>
    <xf numFmtId="168" fontId="0" fillId="0" borderId="36" xfId="0" applyNumberFormat="1" applyBorder="1" applyAlignment="1">
      <alignment horizontal="center"/>
    </xf>
    <xf numFmtId="168" fontId="0" fillId="5" borderId="36" xfId="0" applyNumberFormat="1" applyFill="1" applyBorder="1" applyAlignment="1">
      <alignment horizontal="center"/>
    </xf>
    <xf numFmtId="0" fontId="1" fillId="0" borderId="50" xfId="0" applyFont="1" applyBorder="1"/>
    <xf numFmtId="0" fontId="1" fillId="5" borderId="50" xfId="0" applyFont="1" applyFill="1" applyBorder="1"/>
    <xf numFmtId="0" fontId="0" fillId="0" borderId="48" xfId="0" applyBorder="1" applyAlignment="1">
      <alignment horizontal="center"/>
    </xf>
    <xf numFmtId="0" fontId="0" fillId="5" borderId="48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5" borderId="35" xfId="0" applyNumberFormat="1" applyFill="1" applyBorder="1" applyAlignment="1">
      <alignment horizontal="center"/>
    </xf>
    <xf numFmtId="166" fontId="10" fillId="0" borderId="48" xfId="0" applyNumberFormat="1" applyFont="1" applyBorder="1" applyAlignment="1">
      <alignment horizontal="center"/>
    </xf>
    <xf numFmtId="166" fontId="10" fillId="5" borderId="48" xfId="0" applyNumberFormat="1" applyFont="1" applyFill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5" borderId="37" xfId="0" applyNumberFormat="1" applyFill="1" applyBorder="1" applyAlignment="1">
      <alignment horizontal="center"/>
    </xf>
    <xf numFmtId="168" fontId="0" fillId="0" borderId="35" xfId="0" applyNumberFormat="1" applyBorder="1" applyAlignment="1">
      <alignment horizontal="center"/>
    </xf>
    <xf numFmtId="168" fontId="0" fillId="5" borderId="35" xfId="0" applyNumberFormat="1" applyFill="1" applyBorder="1" applyAlignment="1">
      <alignment horizontal="center"/>
    </xf>
    <xf numFmtId="168" fontId="0" fillId="0" borderId="48" xfId="0" applyNumberFormat="1" applyBorder="1" applyAlignment="1">
      <alignment horizontal="center"/>
    </xf>
    <xf numFmtId="168" fontId="0" fillId="5" borderId="48" xfId="0" applyNumberFormat="1" applyFill="1" applyBorder="1" applyAlignment="1">
      <alignment horizontal="center"/>
    </xf>
    <xf numFmtId="0" fontId="1" fillId="5" borderId="56" xfId="0" applyFont="1" applyFill="1" applyBorder="1"/>
    <xf numFmtId="0" fontId="0" fillId="5" borderId="57" xfId="0" applyFill="1" applyBorder="1" applyAlignment="1">
      <alignment horizontal="center"/>
    </xf>
    <xf numFmtId="166" fontId="10" fillId="5" borderId="57" xfId="0" applyNumberFormat="1" applyFont="1" applyFill="1" applyBorder="1" applyAlignment="1">
      <alignment horizontal="center"/>
    </xf>
    <xf numFmtId="166" fontId="0" fillId="5" borderId="38" xfId="0" applyNumberFormat="1" applyFill="1" applyBorder="1" applyAlignment="1">
      <alignment horizontal="center"/>
    </xf>
    <xf numFmtId="166" fontId="0" fillId="5" borderId="40" xfId="0" applyNumberFormat="1" applyFill="1" applyBorder="1" applyAlignment="1">
      <alignment horizontal="center"/>
    </xf>
    <xf numFmtId="168" fontId="0" fillId="5" borderId="38" xfId="0" applyNumberFormat="1" applyFill="1" applyBorder="1" applyAlignment="1">
      <alignment horizontal="center"/>
    </xf>
    <xf numFmtId="168" fontId="0" fillId="5" borderId="39" xfId="0" applyNumberFormat="1" applyFill="1" applyBorder="1" applyAlignment="1">
      <alignment horizontal="center"/>
    </xf>
    <xf numFmtId="168" fontId="0" fillId="5" borderId="57" xfId="0" applyNumberFormat="1" applyFill="1" applyBorder="1" applyAlignment="1">
      <alignment horizontal="center"/>
    </xf>
    <xf numFmtId="0" fontId="1" fillId="6" borderId="23" xfId="0" applyFont="1" applyFill="1" applyBorder="1"/>
    <xf numFmtId="0" fontId="1" fillId="6" borderId="52" xfId="0" applyFont="1" applyFill="1" applyBorder="1" applyAlignment="1">
      <alignment horizontal="center"/>
    </xf>
    <xf numFmtId="0" fontId="1" fillId="6" borderId="59" xfId="0" applyFont="1" applyFill="1" applyBorder="1" applyAlignment="1">
      <alignment horizontal="center"/>
    </xf>
    <xf numFmtId="0" fontId="1" fillId="6" borderId="51" xfId="0" applyFont="1" applyFill="1" applyBorder="1" applyAlignment="1">
      <alignment horizontal="center"/>
    </xf>
    <xf numFmtId="0" fontId="1" fillId="6" borderId="60" xfId="0" applyFont="1" applyFill="1" applyBorder="1" applyAlignment="1">
      <alignment horizontal="center"/>
    </xf>
    <xf numFmtId="166" fontId="1" fillId="6" borderId="59" xfId="0" applyNumberFormat="1" applyFont="1" applyFill="1" applyBorder="1" applyAlignment="1">
      <alignment horizontal="center"/>
    </xf>
    <xf numFmtId="166" fontId="1" fillId="6" borderId="60" xfId="0" applyNumberFormat="1" applyFont="1" applyFill="1" applyBorder="1" applyAlignment="1">
      <alignment horizontal="center"/>
    </xf>
    <xf numFmtId="166" fontId="1" fillId="6" borderId="52" xfId="0" applyNumberFormat="1" applyFont="1" applyFill="1" applyBorder="1" applyAlignment="1">
      <alignment horizontal="center"/>
    </xf>
    <xf numFmtId="168" fontId="1" fillId="6" borderId="59" xfId="0" applyNumberFormat="1" applyFont="1" applyFill="1" applyBorder="1" applyAlignment="1">
      <alignment horizontal="center"/>
    </xf>
    <xf numFmtId="168" fontId="1" fillId="6" borderId="51" xfId="0" applyNumberFormat="1" applyFont="1" applyFill="1" applyBorder="1" applyAlignment="1">
      <alignment horizontal="center"/>
    </xf>
    <xf numFmtId="168" fontId="1" fillId="6" borderId="60" xfId="0" applyNumberFormat="1" applyFont="1" applyFill="1" applyBorder="1" applyAlignment="1">
      <alignment horizontal="center"/>
    </xf>
    <xf numFmtId="168" fontId="1" fillId="6" borderId="52" xfId="0" applyNumberFormat="1" applyFont="1" applyFill="1" applyBorder="1" applyAlignment="1">
      <alignment horizontal="center"/>
    </xf>
    <xf numFmtId="0" fontId="1" fillId="6" borderId="61" xfId="0" applyFont="1" applyFill="1" applyBorder="1" applyAlignment="1">
      <alignment horizontal="center"/>
    </xf>
    <xf numFmtId="166" fontId="10" fillId="0" borderId="0" xfId="0" applyNumberFormat="1" applyFont="1"/>
    <xf numFmtId="2" fontId="10" fillId="0" borderId="0" xfId="0" applyNumberFormat="1" applyFont="1"/>
    <xf numFmtId="171" fontId="10" fillId="0" borderId="0" xfId="0" applyNumberFormat="1" applyFont="1"/>
    <xf numFmtId="0" fontId="10" fillId="0" borderId="0" xfId="0" applyFont="1"/>
    <xf numFmtId="0" fontId="12" fillId="0" borderId="0" xfId="0" applyFont="1"/>
    <xf numFmtId="166" fontId="13" fillId="0" borderId="36" xfId="0" applyNumberFormat="1" applyFont="1" applyBorder="1" applyAlignment="1">
      <alignment horizontal="center"/>
    </xf>
    <xf numFmtId="166" fontId="13" fillId="5" borderId="36" xfId="0" applyNumberFormat="1" applyFont="1" applyFill="1" applyBorder="1" applyAlignment="1">
      <alignment horizontal="center"/>
    </xf>
    <xf numFmtId="166" fontId="13" fillId="5" borderId="39" xfId="0" applyNumberFormat="1" applyFont="1" applyFill="1" applyBorder="1" applyAlignment="1">
      <alignment horizontal="center"/>
    </xf>
    <xf numFmtId="166" fontId="13" fillId="0" borderId="48" xfId="0" applyNumberFormat="1" applyFont="1" applyBorder="1" applyAlignment="1">
      <alignment horizontal="center"/>
    </xf>
    <xf numFmtId="166" fontId="13" fillId="5" borderId="48" xfId="0" applyNumberFormat="1" applyFont="1" applyFill="1" applyBorder="1" applyAlignment="1">
      <alignment horizontal="center"/>
    </xf>
    <xf numFmtId="166" fontId="13" fillId="5" borderId="57" xfId="0" applyNumberFormat="1" applyFont="1" applyFill="1" applyBorder="1" applyAlignment="1">
      <alignment horizontal="center"/>
    </xf>
    <xf numFmtId="168" fontId="13" fillId="0" borderId="37" xfId="0" applyNumberFormat="1" applyFont="1" applyBorder="1" applyAlignment="1">
      <alignment horizontal="center"/>
    </xf>
    <xf numFmtId="168" fontId="13" fillId="5" borderId="37" xfId="0" applyNumberFormat="1" applyFont="1" applyFill="1" applyBorder="1" applyAlignment="1">
      <alignment horizontal="center"/>
    </xf>
    <xf numFmtId="168" fontId="13" fillId="5" borderId="40" xfId="0" applyNumberFormat="1" applyFont="1" applyFill="1" applyBorder="1" applyAlignment="1">
      <alignment horizontal="center"/>
    </xf>
    <xf numFmtId="169" fontId="13" fillId="0" borderId="54" xfId="0" applyNumberFormat="1" applyFont="1" applyBorder="1" applyAlignment="1">
      <alignment horizontal="center"/>
    </xf>
    <xf numFmtId="169" fontId="13" fillId="5" borderId="54" xfId="0" applyNumberFormat="1" applyFont="1" applyFill="1" applyBorder="1" applyAlignment="1">
      <alignment horizontal="center"/>
    </xf>
    <xf numFmtId="169" fontId="13" fillId="5" borderId="58" xfId="0" applyNumberFormat="1" applyFont="1" applyFill="1" applyBorder="1" applyAlignment="1">
      <alignment horizontal="center"/>
    </xf>
    <xf numFmtId="0" fontId="16" fillId="6" borderId="31" xfId="0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166" fontId="1" fillId="6" borderId="31" xfId="0" applyNumberFormat="1" applyFont="1" applyFill="1" applyBorder="1" applyAlignment="1">
      <alignment horizontal="center"/>
    </xf>
    <xf numFmtId="0" fontId="16" fillId="6" borderId="37" xfId="0" applyFont="1" applyFill="1" applyBorder="1" applyAlignment="1">
      <alignment horizontal="center"/>
    </xf>
    <xf numFmtId="172" fontId="14" fillId="5" borderId="45" xfId="0" applyNumberFormat="1" applyFont="1" applyFill="1" applyBorder="1"/>
    <xf numFmtId="0" fontId="16" fillId="6" borderId="45" xfId="0" applyFont="1" applyFill="1" applyBorder="1" applyAlignment="1">
      <alignment horizontal="center"/>
    </xf>
    <xf numFmtId="0" fontId="17" fillId="0" borderId="45" xfId="0" applyFont="1" applyBorder="1"/>
    <xf numFmtId="0" fontId="18" fillId="6" borderId="45" xfId="0" applyFont="1" applyFill="1" applyBorder="1"/>
    <xf numFmtId="0" fontId="17" fillId="0" borderId="46" xfId="0" applyFont="1" applyBorder="1"/>
    <xf numFmtId="0" fontId="10" fillId="0" borderId="37" xfId="0" applyFont="1" applyBorder="1" applyAlignment="1">
      <alignment horizontal="center"/>
    </xf>
    <xf numFmtId="166" fontId="1" fillId="6" borderId="37" xfId="0" applyNumberFormat="1" applyFont="1" applyFill="1" applyBorder="1" applyAlignment="1">
      <alignment horizontal="center"/>
    </xf>
    <xf numFmtId="0" fontId="10" fillId="0" borderId="44" xfId="0" applyFont="1" applyBorder="1" applyAlignment="1">
      <alignment horizontal="left"/>
    </xf>
    <xf numFmtId="0" fontId="16" fillId="6" borderId="64" xfId="0" applyFont="1" applyFill="1" applyBorder="1" applyAlignment="1">
      <alignment horizontal="center"/>
    </xf>
    <xf numFmtId="0" fontId="10" fillId="0" borderId="64" xfId="0" applyFont="1" applyBorder="1" applyAlignment="1">
      <alignment horizontal="center"/>
    </xf>
    <xf numFmtId="166" fontId="1" fillId="6" borderId="64" xfId="0" applyNumberFormat="1" applyFont="1" applyFill="1" applyBorder="1" applyAlignment="1">
      <alignment horizontal="center"/>
    </xf>
    <xf numFmtId="0" fontId="10" fillId="0" borderId="65" xfId="0" applyFont="1" applyBorder="1" applyAlignment="1">
      <alignment horizontal="left"/>
    </xf>
    <xf numFmtId="0" fontId="10" fillId="0" borderId="66" xfId="0" applyFont="1" applyBorder="1" applyAlignment="1">
      <alignment horizontal="left"/>
    </xf>
    <xf numFmtId="0" fontId="0" fillId="5" borderId="54" xfId="0" applyFill="1" applyBorder="1"/>
    <xf numFmtId="0" fontId="16" fillId="6" borderId="54" xfId="0" applyFont="1" applyFill="1" applyBorder="1" applyAlignment="1">
      <alignment horizontal="center"/>
    </xf>
    <xf numFmtId="166" fontId="0" fillId="0" borderId="54" xfId="0" applyNumberFormat="1" applyBorder="1"/>
    <xf numFmtId="166" fontId="1" fillId="6" borderId="54" xfId="0" applyNumberFormat="1" applyFont="1" applyFill="1" applyBorder="1"/>
    <xf numFmtId="0" fontId="10" fillId="0" borderId="55" xfId="0" applyFont="1" applyBorder="1" applyAlignment="1">
      <alignment horizontal="left"/>
    </xf>
    <xf numFmtId="172" fontId="14" fillId="5" borderId="72" xfId="0" applyNumberFormat="1" applyFont="1" applyFill="1" applyBorder="1"/>
    <xf numFmtId="0" fontId="16" fillId="6" borderId="72" xfId="0" applyFont="1" applyFill="1" applyBorder="1" applyAlignment="1">
      <alignment horizontal="center"/>
    </xf>
    <xf numFmtId="0" fontId="17" fillId="0" borderId="72" xfId="0" applyFont="1" applyBorder="1"/>
    <xf numFmtId="0" fontId="18" fillId="6" borderId="72" xfId="0" applyFont="1" applyFill="1" applyBorder="1"/>
    <xf numFmtId="0" fontId="17" fillId="0" borderId="73" xfId="0" applyFont="1" applyBorder="1"/>
    <xf numFmtId="0" fontId="10" fillId="0" borderId="69" xfId="0" applyFont="1" applyBorder="1" applyAlignment="1">
      <alignment horizontal="left"/>
    </xf>
    <xf numFmtId="0" fontId="10" fillId="0" borderId="75" xfId="0" applyFont="1" applyBorder="1" applyAlignment="1">
      <alignment horizontal="left"/>
    </xf>
    <xf numFmtId="0" fontId="10" fillId="0" borderId="76" xfId="0" applyFont="1" applyBorder="1" applyAlignment="1">
      <alignment horizontal="left"/>
    </xf>
    <xf numFmtId="0" fontId="0" fillId="5" borderId="78" xfId="0" applyFill="1" applyBorder="1"/>
    <xf numFmtId="0" fontId="16" fillId="6" borderId="78" xfId="0" applyFont="1" applyFill="1" applyBorder="1" applyAlignment="1">
      <alignment horizontal="center"/>
    </xf>
    <xf numFmtId="166" fontId="0" fillId="0" borderId="78" xfId="0" applyNumberFormat="1" applyBorder="1"/>
    <xf numFmtId="166" fontId="1" fillId="6" borderId="78" xfId="0" applyNumberFormat="1" applyFont="1" applyFill="1" applyBorder="1"/>
    <xf numFmtId="0" fontId="10" fillId="0" borderId="79" xfId="0" applyFont="1" applyBorder="1" applyAlignment="1">
      <alignment horizontal="left"/>
    </xf>
    <xf numFmtId="172" fontId="14" fillId="5" borderId="86" xfId="0" applyNumberFormat="1" applyFont="1" applyFill="1" applyBorder="1"/>
    <xf numFmtId="0" fontId="16" fillId="6" borderId="86" xfId="0" applyFont="1" applyFill="1" applyBorder="1" applyAlignment="1">
      <alignment horizontal="center"/>
    </xf>
    <xf numFmtId="0" fontId="17" fillId="0" borderId="86" xfId="0" applyFont="1" applyBorder="1"/>
    <xf numFmtId="0" fontId="18" fillId="6" borderId="86" xfId="0" applyFont="1" applyFill="1" applyBorder="1"/>
    <xf numFmtId="0" fontId="17" fillId="0" borderId="87" xfId="0" applyFont="1" applyBorder="1"/>
    <xf numFmtId="0" fontId="0" fillId="5" borderId="90" xfId="0" applyFill="1" applyBorder="1"/>
    <xf numFmtId="0" fontId="16" fillId="6" borderId="90" xfId="0" applyFont="1" applyFill="1" applyBorder="1" applyAlignment="1">
      <alignment horizontal="center"/>
    </xf>
    <xf numFmtId="166" fontId="0" fillId="0" borderId="90" xfId="0" applyNumberFormat="1" applyBorder="1"/>
    <xf numFmtId="166" fontId="1" fillId="6" borderId="90" xfId="0" applyNumberFormat="1" applyFont="1" applyFill="1" applyBorder="1"/>
    <xf numFmtId="0" fontId="10" fillId="0" borderId="91" xfId="0" applyFont="1" applyBorder="1" applyAlignment="1">
      <alignment horizontal="left"/>
    </xf>
    <xf numFmtId="0" fontId="10" fillId="0" borderId="83" xfId="0" applyFont="1" applyBorder="1" applyAlignment="1">
      <alignment horizontal="left"/>
    </xf>
    <xf numFmtId="0" fontId="10" fillId="0" borderId="92" xfId="0" applyFont="1" applyBorder="1" applyAlignment="1">
      <alignment horizontal="left"/>
    </xf>
    <xf numFmtId="0" fontId="10" fillId="0" borderId="93" xfId="0" applyFont="1" applyBorder="1" applyAlignment="1">
      <alignment horizontal="left"/>
    </xf>
    <xf numFmtId="165" fontId="10" fillId="0" borderId="0" xfId="0" applyNumberFormat="1" applyFont="1"/>
    <xf numFmtId="173" fontId="10" fillId="0" borderId="0" xfId="0" applyNumberFormat="1" applyFont="1"/>
    <xf numFmtId="0" fontId="24" fillId="0" borderId="37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5" fillId="7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15" fillId="7" borderId="94" xfId="0" applyFont="1" applyFill="1" applyBorder="1" applyAlignment="1">
      <alignment horizontal="center"/>
    </xf>
    <xf numFmtId="0" fontId="15" fillId="7" borderId="95" xfId="0" applyFont="1" applyFill="1" applyBorder="1" applyAlignment="1">
      <alignment horizontal="center"/>
    </xf>
    <xf numFmtId="0" fontId="15" fillId="7" borderId="96" xfId="0" applyFont="1" applyFill="1" applyBorder="1" applyAlignment="1">
      <alignment horizontal="center"/>
    </xf>
    <xf numFmtId="0" fontId="29" fillId="0" borderId="97" xfId="0" applyFont="1" applyBorder="1" applyAlignment="1">
      <alignment horizontal="center" vertical="center"/>
    </xf>
    <xf numFmtId="0" fontId="30" fillId="0" borderId="98" xfId="0" applyFont="1" applyBorder="1" applyAlignment="1">
      <alignment horizontal="center" vertical="center"/>
    </xf>
    <xf numFmtId="174" fontId="31" fillId="0" borderId="99" xfId="0" applyNumberFormat="1" applyFont="1" applyBorder="1" applyAlignment="1">
      <alignment horizontal="center" vertical="center"/>
    </xf>
    <xf numFmtId="175" fontId="17" fillId="0" borderId="98" xfId="0" applyNumberFormat="1" applyFont="1" applyBorder="1" applyAlignment="1">
      <alignment horizontal="center" vertical="center"/>
    </xf>
    <xf numFmtId="175" fontId="17" fillId="0" borderId="100" xfId="0" applyNumberFormat="1" applyFont="1" applyBorder="1" applyAlignment="1">
      <alignment horizontal="center" vertical="center"/>
    </xf>
    <xf numFmtId="0" fontId="29" fillId="0" borderId="101" xfId="0" applyFon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176" fontId="0" fillId="0" borderId="102" xfId="0" applyNumberFormat="1" applyBorder="1"/>
    <xf numFmtId="175" fontId="17" fillId="0" borderId="102" xfId="0" applyNumberFormat="1" applyFont="1" applyBorder="1" applyAlignment="1">
      <alignment horizontal="center" vertical="center"/>
    </xf>
    <xf numFmtId="175" fontId="17" fillId="0" borderId="103" xfId="0" applyNumberFormat="1" applyFont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/>
    </xf>
    <xf numFmtId="0" fontId="30" fillId="0" borderId="99" xfId="0" applyFont="1" applyBorder="1" applyAlignment="1">
      <alignment horizontal="center" vertical="center"/>
    </xf>
    <xf numFmtId="175" fontId="17" fillId="0" borderId="99" xfId="0" applyNumberFormat="1" applyFont="1" applyBorder="1" applyAlignment="1">
      <alignment horizontal="center" vertical="center"/>
    </xf>
    <xf numFmtId="175" fontId="17" fillId="0" borderId="105" xfId="0" applyNumberFormat="1" applyFont="1" applyBorder="1" applyAlignment="1">
      <alignment horizontal="center" vertical="center"/>
    </xf>
    <xf numFmtId="0" fontId="22" fillId="0" borderId="101" xfId="0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/>
    </xf>
    <xf numFmtId="0" fontId="22" fillId="0" borderId="104" xfId="0" applyFont="1" applyBorder="1" applyAlignment="1">
      <alignment horizontal="center" vertical="center"/>
    </xf>
    <xf numFmtId="0" fontId="23" fillId="0" borderId="99" xfId="0" applyFont="1" applyBorder="1" applyAlignment="1">
      <alignment horizontal="center" vertical="center"/>
    </xf>
    <xf numFmtId="174" fontId="27" fillId="0" borderId="99" xfId="0" applyNumberFormat="1" applyFont="1" applyBorder="1" applyAlignment="1">
      <alignment horizontal="center" vertical="center"/>
    </xf>
    <xf numFmtId="0" fontId="22" fillId="0" borderId="106" xfId="0" applyFont="1" applyBorder="1" applyAlignment="1">
      <alignment horizontal="center" vertical="center"/>
    </xf>
    <xf numFmtId="0" fontId="23" fillId="0" borderId="107" xfId="0" applyFont="1" applyBorder="1" applyAlignment="1">
      <alignment horizontal="center" vertical="center"/>
    </xf>
    <xf numFmtId="176" fontId="0" fillId="0" borderId="107" xfId="0" applyNumberFormat="1" applyBorder="1"/>
    <xf numFmtId="175" fontId="17" fillId="0" borderId="107" xfId="0" applyNumberFormat="1" applyFont="1" applyBorder="1" applyAlignment="1">
      <alignment horizontal="center" vertical="center"/>
    </xf>
    <xf numFmtId="175" fontId="17" fillId="0" borderId="108" xfId="0" applyNumberFormat="1" applyFont="1" applyBorder="1" applyAlignment="1">
      <alignment horizontal="center" vertical="center"/>
    </xf>
    <xf numFmtId="0" fontId="9" fillId="7" borderId="24" xfId="0" applyFont="1" applyFill="1" applyBorder="1"/>
    <xf numFmtId="0" fontId="9" fillId="7" borderId="21" xfId="0" applyFont="1" applyFill="1" applyBorder="1"/>
    <xf numFmtId="0" fontId="9" fillId="7" borderId="27" xfId="0" applyFont="1" applyFill="1" applyBorder="1"/>
    <xf numFmtId="165" fontId="10" fillId="14" borderId="0" xfId="0" applyNumberFormat="1" applyFont="1" applyFill="1" applyBorder="1" applyAlignment="1">
      <alignment horizontal="center"/>
    </xf>
    <xf numFmtId="165" fontId="10" fillId="14" borderId="28" xfId="0" applyNumberFormat="1" applyFont="1" applyFill="1" applyBorder="1" applyAlignment="1">
      <alignment horizontal="center"/>
    </xf>
    <xf numFmtId="0" fontId="10" fillId="14" borderId="0" xfId="0" applyFont="1" applyFill="1" applyBorder="1" applyAlignment="1">
      <alignment horizontal="center"/>
    </xf>
    <xf numFmtId="0" fontId="10" fillId="14" borderId="28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0" fontId="10" fillId="14" borderId="29" xfId="0" applyFont="1" applyFill="1" applyBorder="1" applyAlignment="1">
      <alignment horizontal="center"/>
    </xf>
    <xf numFmtId="0" fontId="9" fillId="7" borderId="49" xfId="0" applyFont="1" applyFill="1" applyBorder="1" applyAlignment="1">
      <alignment horizontal="center"/>
    </xf>
    <xf numFmtId="0" fontId="9" fillId="7" borderId="47" xfId="0" applyFont="1" applyFill="1" applyBorder="1" applyAlignment="1">
      <alignment horizontal="center"/>
    </xf>
    <xf numFmtId="0" fontId="9" fillId="7" borderId="41" xfId="0" applyFont="1" applyFill="1" applyBorder="1" applyAlignment="1">
      <alignment horizontal="center"/>
    </xf>
    <xf numFmtId="0" fontId="9" fillId="7" borderId="42" xfId="0" applyFont="1" applyFill="1" applyBorder="1" applyAlignment="1">
      <alignment horizontal="center"/>
    </xf>
    <xf numFmtId="0" fontId="9" fillId="7" borderId="43" xfId="0" applyFont="1" applyFill="1" applyBorder="1" applyAlignment="1">
      <alignment horizontal="center"/>
    </xf>
    <xf numFmtId="0" fontId="9" fillId="7" borderId="53" xfId="0" applyFont="1" applyFill="1" applyBorder="1" applyAlignment="1">
      <alignment horizontal="center"/>
    </xf>
    <xf numFmtId="170" fontId="34" fillId="0" borderId="35" xfId="0" applyNumberFormat="1" applyFont="1" applyBorder="1" applyAlignment="1">
      <alignment horizontal="center"/>
    </xf>
    <xf numFmtId="170" fontId="34" fillId="0" borderId="36" xfId="0" applyNumberFormat="1" applyFont="1" applyBorder="1" applyAlignment="1">
      <alignment horizontal="center"/>
    </xf>
    <xf numFmtId="170" fontId="34" fillId="0" borderId="37" xfId="0" applyNumberFormat="1" applyFont="1" applyBorder="1" applyAlignment="1">
      <alignment horizontal="center"/>
    </xf>
    <xf numFmtId="170" fontId="34" fillId="5" borderId="35" xfId="0" applyNumberFormat="1" applyFont="1" applyFill="1" applyBorder="1" applyAlignment="1">
      <alignment horizontal="center"/>
    </xf>
    <xf numFmtId="170" fontId="34" fillId="5" borderId="36" xfId="0" applyNumberFormat="1" applyFont="1" applyFill="1" applyBorder="1" applyAlignment="1">
      <alignment horizontal="center"/>
    </xf>
    <xf numFmtId="170" fontId="34" fillId="5" borderId="37" xfId="0" applyNumberFormat="1" applyFont="1" applyFill="1" applyBorder="1" applyAlignment="1">
      <alignment horizontal="center"/>
    </xf>
    <xf numFmtId="0" fontId="35" fillId="0" borderId="0" xfId="0" applyFont="1"/>
    <xf numFmtId="0" fontId="35" fillId="2" borderId="0" xfId="0" applyFont="1" applyFill="1"/>
    <xf numFmtId="170" fontId="34" fillId="5" borderId="38" xfId="0" applyNumberFormat="1" applyFont="1" applyFill="1" applyBorder="1" applyAlignment="1">
      <alignment horizontal="center"/>
    </xf>
    <xf numFmtId="170" fontId="34" fillId="5" borderId="39" xfId="0" applyNumberFormat="1" applyFont="1" applyFill="1" applyBorder="1" applyAlignment="1">
      <alignment horizontal="center"/>
    </xf>
    <xf numFmtId="170" fontId="34" fillId="5" borderId="40" xfId="0" applyNumberFormat="1" applyFont="1" applyFill="1" applyBorder="1" applyAlignment="1">
      <alignment horizontal="center"/>
    </xf>
    <xf numFmtId="0" fontId="36" fillId="0" borderId="0" xfId="0" applyFont="1"/>
    <xf numFmtId="0" fontId="15" fillId="8" borderId="62" xfId="0" applyFont="1" applyFill="1" applyBorder="1" applyAlignment="1">
      <alignment horizontal="left" wrapText="1"/>
    </xf>
    <xf numFmtId="0" fontId="15" fillId="8" borderId="34" xfId="0" applyFont="1" applyFill="1" applyBorder="1" applyAlignment="1">
      <alignment horizontal="center" wrapText="1"/>
    </xf>
    <xf numFmtId="0" fontId="15" fillId="8" borderId="63" xfId="0" applyFont="1" applyFill="1" applyBorder="1" applyAlignment="1">
      <alignment horizontal="center" wrapText="1"/>
    </xf>
    <xf numFmtId="0" fontId="15" fillId="8" borderId="30" xfId="0" applyFont="1" applyFill="1" applyBorder="1" applyAlignment="1">
      <alignment horizontal="center" wrapText="1"/>
    </xf>
    <xf numFmtId="0" fontId="15" fillId="8" borderId="67" xfId="0" applyFont="1" applyFill="1" applyBorder="1" applyAlignment="1">
      <alignment horizontal="center" wrapText="1"/>
    </xf>
    <xf numFmtId="0" fontId="37" fillId="5" borderId="37" xfId="0" applyFont="1" applyFill="1" applyBorder="1" applyAlignment="1">
      <alignment horizontal="center"/>
    </xf>
    <xf numFmtId="0" fontId="37" fillId="5" borderId="64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9" fillId="8" borderId="70" xfId="0" applyFont="1" applyFill="1" applyBorder="1"/>
    <xf numFmtId="0" fontId="9" fillId="8" borderId="68" xfId="0" applyFont="1" applyFill="1" applyBorder="1"/>
    <xf numFmtId="0" fontId="9" fillId="8" borderId="74" xfId="0" applyFont="1" applyFill="1" applyBorder="1"/>
    <xf numFmtId="0" fontId="15" fillId="8" borderId="71" xfId="0" applyFont="1" applyFill="1" applyBorder="1" applyAlignment="1">
      <alignment horizontal="left" wrapText="1"/>
    </xf>
    <xf numFmtId="0" fontId="15" fillId="8" borderId="77" xfId="0" applyFont="1" applyFill="1" applyBorder="1" applyAlignment="1">
      <alignment horizontal="center" wrapText="1"/>
    </xf>
    <xf numFmtId="0" fontId="9" fillId="9" borderId="84" xfId="0" applyFont="1" applyFill="1" applyBorder="1"/>
    <xf numFmtId="0" fontId="9" fillId="9" borderId="80" xfId="0" applyFont="1" applyFill="1" applyBorder="1"/>
    <xf numFmtId="0" fontId="9" fillId="9" borderId="88" xfId="0" applyFont="1" applyFill="1" applyBorder="1"/>
    <xf numFmtId="0" fontId="15" fillId="8" borderId="85" xfId="0" applyFont="1" applyFill="1" applyBorder="1" applyAlignment="1">
      <alignment horizontal="left" wrapText="1"/>
    </xf>
    <xf numFmtId="0" fontId="19" fillId="15" borderId="32" xfId="0" applyFont="1" applyFill="1" applyBorder="1"/>
    <xf numFmtId="0" fontId="19" fillId="15" borderId="33" xfId="0" applyFont="1" applyFill="1" applyBorder="1"/>
    <xf numFmtId="0" fontId="15" fillId="8" borderId="89" xfId="0" applyFont="1" applyFill="1" applyBorder="1" applyAlignment="1">
      <alignment horizontal="center" wrapText="1"/>
    </xf>
    <xf numFmtId="0" fontId="19" fillId="15" borderId="35" xfId="0" applyFont="1" applyFill="1" applyBorder="1"/>
    <xf numFmtId="0" fontId="19" fillId="15" borderId="36" xfId="0" applyFont="1" applyFill="1" applyBorder="1"/>
    <xf numFmtId="0" fontId="20" fillId="15" borderId="35" xfId="0" applyFont="1" applyFill="1" applyBorder="1" applyAlignment="1">
      <alignment horizontal="center"/>
    </xf>
    <xf numFmtId="0" fontId="20" fillId="15" borderId="36" xfId="0" applyFont="1" applyFill="1" applyBorder="1" applyAlignment="1">
      <alignment horizontal="center"/>
    </xf>
    <xf numFmtId="0" fontId="19" fillId="15" borderId="35" xfId="0" applyFont="1" applyFill="1" applyBorder="1" applyAlignment="1">
      <alignment horizontal="center"/>
    </xf>
    <xf numFmtId="0" fontId="19" fillId="15" borderId="36" xfId="0" applyFont="1" applyFill="1" applyBorder="1" applyAlignment="1">
      <alignment horizontal="center"/>
    </xf>
    <xf numFmtId="166" fontId="21" fillId="15" borderId="35" xfId="0" applyNumberFormat="1" applyFont="1" applyFill="1" applyBorder="1" applyAlignment="1">
      <alignment horizontal="center"/>
    </xf>
    <xf numFmtId="166" fontId="21" fillId="15" borderId="36" xfId="0" applyNumberFormat="1" applyFont="1" applyFill="1" applyBorder="1" applyAlignment="1">
      <alignment horizontal="center"/>
    </xf>
    <xf numFmtId="0" fontId="19" fillId="15" borderId="81" xfId="0" applyFont="1" applyFill="1" applyBorder="1" applyAlignment="1">
      <alignment horizontal="left"/>
    </xf>
    <xf numFmtId="0" fontId="19" fillId="15" borderId="82" xfId="0" applyFont="1" applyFill="1" applyBorder="1" applyAlignment="1">
      <alignment horizontal="left"/>
    </xf>
    <xf numFmtId="0" fontId="38" fillId="0" borderId="0" xfId="0" applyFont="1"/>
    <xf numFmtId="0" fontId="39" fillId="0" borderId="0" xfId="0" applyFont="1"/>
    <xf numFmtId="49" fontId="39" fillId="0" borderId="0" xfId="0" applyNumberFormat="1" applyFont="1"/>
    <xf numFmtId="0" fontId="11" fillId="7" borderId="50" xfId="0" applyFont="1" applyFill="1" applyBorder="1" applyAlignment="1">
      <alignment horizontal="center"/>
    </xf>
    <xf numFmtId="0" fontId="11" fillId="7" borderId="48" xfId="0" applyFont="1" applyFill="1" applyBorder="1" applyAlignment="1">
      <alignment horizontal="center"/>
    </xf>
    <xf numFmtId="0" fontId="11" fillId="7" borderId="35" xfId="0" applyFont="1" applyFill="1" applyBorder="1" applyAlignment="1">
      <alignment horizontal="center"/>
    </xf>
    <xf numFmtId="0" fontId="11" fillId="7" borderId="36" xfId="0" applyFont="1" applyFill="1" applyBorder="1" applyAlignment="1">
      <alignment horizontal="center"/>
    </xf>
    <xf numFmtId="0" fontId="11" fillId="7" borderId="37" xfId="0" applyFont="1" applyFill="1" applyBorder="1" applyAlignment="1">
      <alignment horizontal="center"/>
    </xf>
    <xf numFmtId="0" fontId="11" fillId="7" borderId="54" xfId="0" applyFont="1" applyFill="1" applyBorder="1" applyAlignment="1">
      <alignment horizontal="center"/>
    </xf>
    <xf numFmtId="0" fontId="17" fillId="0" borderId="0" xfId="0" applyFont="1" applyAlignment="1">
      <alignment vertical="top"/>
    </xf>
    <xf numFmtId="0" fontId="41" fillId="0" borderId="0" xfId="0" applyFont="1" applyAlignment="1">
      <alignment vertical="top" wrapText="1"/>
    </xf>
    <xf numFmtId="0" fontId="41" fillId="14" borderId="0" xfId="0" applyFont="1" applyFill="1" applyAlignment="1">
      <alignment vertical="top" wrapText="1"/>
    </xf>
    <xf numFmtId="0" fontId="41" fillId="14" borderId="0" xfId="0" applyFont="1" applyFill="1" applyBorder="1" applyAlignment="1">
      <alignment vertical="top" wrapText="1"/>
    </xf>
    <xf numFmtId="0" fontId="40" fillId="14" borderId="110" xfId="0" applyFont="1" applyFill="1" applyBorder="1" applyAlignment="1">
      <alignment vertical="top"/>
    </xf>
    <xf numFmtId="0" fontId="41" fillId="14" borderId="111" xfId="0" applyFont="1" applyFill="1" applyBorder="1" applyAlignment="1">
      <alignment vertical="top" wrapText="1"/>
    </xf>
    <xf numFmtId="0" fontId="40" fillId="14" borderId="112" xfId="0" applyFont="1" applyFill="1" applyBorder="1" applyAlignment="1">
      <alignment vertical="top"/>
    </xf>
    <xf numFmtId="0" fontId="41" fillId="14" borderId="113" xfId="0" applyFont="1" applyFill="1" applyBorder="1" applyAlignment="1">
      <alignment vertical="top" wrapText="1"/>
    </xf>
    <xf numFmtId="0" fontId="40" fillId="14" borderId="114" xfId="0" applyFont="1" applyFill="1" applyBorder="1" applyAlignment="1">
      <alignment vertical="top"/>
    </xf>
    <xf numFmtId="0" fontId="41" fillId="14" borderId="115" xfId="0" applyFont="1" applyFill="1" applyBorder="1" applyAlignment="1">
      <alignment vertical="top" wrapText="1"/>
    </xf>
    <xf numFmtId="0" fontId="17" fillId="14" borderId="112" xfId="0" applyFont="1" applyFill="1" applyBorder="1" applyAlignment="1">
      <alignment vertical="top"/>
    </xf>
    <xf numFmtId="0" fontId="17" fillId="14" borderId="114" xfId="0" applyFont="1" applyFill="1" applyBorder="1" applyAlignment="1">
      <alignment vertical="top"/>
    </xf>
    <xf numFmtId="0" fontId="28" fillId="7" borderId="0" xfId="0" applyFont="1" applyFill="1" applyAlignment="1">
      <alignment vertical="center"/>
    </xf>
    <xf numFmtId="0" fontId="28" fillId="7" borderId="110" xfId="0" applyFont="1" applyFill="1" applyBorder="1" applyAlignment="1">
      <alignment vertical="center"/>
    </xf>
    <xf numFmtId="0" fontId="28" fillId="7" borderId="109" xfId="0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119" xfId="0" applyFont="1" applyBorder="1" applyAlignment="1">
      <alignment horizontal="left" vertical="bottom"/>
    </xf>
    <xf numFmtId="0" fontId="45" fillId="16" borderId="116" xfId="0" applyFont="1" applyFill="1" applyBorder="1" applyAlignment="1">
      <alignment horizontal="center" vertical="center"/>
    </xf>
    <xf numFmtId="0" fontId="47" fillId="16" borderId="118" xfId="0" applyFont="1" applyFill="1" applyBorder="1" applyAlignment="1">
      <alignment horizontal="center" vertical="center"/>
    </xf>
    <xf numFmtId="178" fontId="46" fillId="16" borderId="117" xfId="0" applyNumberFormat="1" applyFont="1" applyFill="1" applyBorder="1" applyAlignment="1">
      <alignment horizontal="center" vertical="center"/>
    </xf>
    <xf numFmtId="183" fontId="46" fillId="16" borderId="117" xfId="0" applyNumberFormat="1" applyFont="1" applyFill="1" applyBorder="1" applyAlignment="1">
      <alignment horizontal="center" vertical="center"/>
    </xf>
    <xf numFmtId="179" fontId="46" fillId="16" borderId="117" xfId="0" applyNumberFormat="1" applyFont="1" applyFill="1" applyBorder="1" applyAlignment="1">
      <alignment horizontal="center" vertical="center"/>
    </xf>
    <xf numFmtId="180" fontId="46" fillId="16" borderId="117" xfId="0" applyNumberFormat="1" applyFont="1" applyFill="1" applyBorder="1" applyAlignment="1">
      <alignment horizontal="center" vertical="center"/>
    </xf>
    <xf numFmtId="177" fontId="46" fillId="16" borderId="117" xfId="0" applyNumberFormat="1" applyFont="1" applyFill="1" applyBorder="1" applyAlignment="1">
      <alignment horizontal="center" vertical="center"/>
    </xf>
    <xf numFmtId="175" fontId="48" fillId="16" borderId="117" xfId="0" applyNumberFormat="1" applyFont="1" applyFill="1" applyBorder="1" applyAlignment="1">
      <alignment horizontal="center" vertical="center"/>
    </xf>
    <xf numFmtId="180" fontId="48" fillId="16" borderId="117" xfId="0" applyNumberFormat="1" applyFont="1" applyFill="1" applyBorder="1" applyAlignment="1">
      <alignment horizontal="center" vertical="center"/>
    </xf>
    <xf numFmtId="181" fontId="48" fillId="16" borderId="117" xfId="0" applyNumberFormat="1" applyFont="1" applyFill="1" applyBorder="1" applyAlignment="1">
      <alignment horizontal="center" vertical="center"/>
    </xf>
    <xf numFmtId="0" fontId="49" fillId="18" borderId="0" xfId="0" applyFont="1" applyFill="1" applyAlignment="1">
      <alignment horizontal="left" vertical="center"/>
    </xf>
    <xf numFmtId="0" fontId="49" fillId="18" borderId="0" xfId="0" applyFont="1" applyFill="1" applyAlignment="1">
      <alignment horizontal="right" vertical="center"/>
    </xf>
    <xf numFmtId="0" fontId="49" fillId="18" borderId="0" xfId="0" applyFont="1" applyFill="1" applyAlignment="1">
      <alignment horizontal="center" vertical="center"/>
    </xf>
    <xf numFmtId="0" fontId="50" fillId="0" borderId="0" xfId="0" applyFont="1" applyAlignment="1">
      <alignment horizontal="left" vertical="center"/>
    </xf>
    <xf numFmtId="175" fontId="50" fillId="0" borderId="0" xfId="0" applyNumberFormat="1" applyFont="1" applyAlignment="1">
      <alignment horizontal="right" vertical="center"/>
    </xf>
    <xf numFmtId="169" fontId="50" fillId="0" borderId="0" xfId="0" applyNumberFormat="1" applyFont="1" applyAlignment="1">
      <alignment horizontal="right" vertical="center"/>
    </xf>
    <xf numFmtId="0" fontId="51" fillId="0" borderId="120" xfId="0" applyFont="1" applyBorder="1" applyAlignment="1">
      <alignment horizontal="left" vertical="center"/>
    </xf>
    <xf numFmtId="175" fontId="51" fillId="0" borderId="120" xfId="0" applyNumberFormat="1" applyFont="1" applyBorder="1" applyAlignment="1">
      <alignment horizontal="right" vertical="center"/>
    </xf>
    <xf numFmtId="169" fontId="51" fillId="0" borderId="120" xfId="0" applyNumberFormat="1" applyFont="1" applyBorder="1" applyAlignment="1">
      <alignment horizontal="right" vertical="center"/>
    </xf>
    <xf numFmtId="166" fontId="51" fillId="0" borderId="120" xfId="0" applyNumberFormat="1" applyFont="1" applyBorder="1" applyAlignment="1">
      <alignment horizontal="right" vertical="center"/>
    </xf>
    <xf numFmtId="182" fontId="51" fillId="0" borderId="120" xfId="0" applyNumberFormat="1" applyFont="1" applyBorder="1" applyAlignment="1">
      <alignment horizontal="right" vertical="center"/>
    </xf>
    <xf numFmtId="0" fontId="50" fillId="0" borderId="120" xfId="0" applyFont="1" applyBorder="1" applyAlignment="1">
      <alignment horizontal="left" vertical="center"/>
    </xf>
    <xf numFmtId="175" fontId="50" fillId="0" borderId="0" xfId="0" applyNumberFormat="1" applyFont="1" applyAlignment="1">
      <alignment horizontal="center" vertical="center"/>
    </xf>
    <xf numFmtId="175" fontId="50" fillId="17" borderId="0" xfId="0" applyNumberFormat="1" applyFont="1" applyFill="1" applyAlignment="1">
      <alignment horizontal="center" vertical="center"/>
    </xf>
    <xf numFmtId="166" fontId="50" fillId="0" borderId="0" xfId="0" applyNumberFormat="1" applyFont="1" applyAlignment="1">
      <alignment horizontal="right" vertical="center"/>
    </xf>
    <xf numFmtId="166" fontId="50" fillId="17" borderId="0" xfId="0" applyNumberFormat="1" applyFont="1" applyFill="1" applyAlignment="1">
      <alignment horizontal="right" vertical="center"/>
    </xf>
    <xf numFmtId="182" fontId="50" fillId="0" borderId="0" xfId="0" applyNumberFormat="1" applyFont="1" applyAlignment="1">
      <alignment horizontal="right" vertical="center"/>
    </xf>
    <xf numFmtId="182" fontId="50" fillId="17" borderId="0" xfId="0" applyNumberFormat="1" applyFont="1" applyFill="1" applyAlignment="1">
      <alignment horizontal="right" vertical="center"/>
    </xf>
    <xf numFmtId="0" fontId="53" fillId="0" borderId="0" xfId="0" applyFont="1" applyAlignment="1">
      <alignment horizontal="left" vertical="center"/>
    </xf>
    <xf numFmtId="0" fontId="53" fillId="17" borderId="0" xfId="0" applyFont="1" applyFill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</cellXfs>
  <cellStyles count="1">
    <cellStyle name="Normal" xfId="0" builtinId="0"/>
  </cellStyles>
  <dxfs count="84">
    <dxf>
      <font>
        <b/>
        <i val="0"/>
        <color rgb="FFA0392B"/>
      </font>
    </dxf>
    <dxf>
      <font>
        <b/>
        <i val="0"/>
        <color rgb="FF5C7A3F"/>
      </font>
    </dxf>
    <dxf>
      <font>
        <b/>
        <i val="0"/>
        <color rgb="FFA0392B"/>
      </font>
    </dxf>
    <dxf>
      <font>
        <b/>
        <i val="0"/>
        <color rgb="FF5C7A3F"/>
      </font>
    </dxf>
    <dxf>
      <font>
        <b/>
        <i val="0"/>
        <color rgb="FFFFFFFF"/>
      </font>
      <fill>
        <patternFill patternType="solid">
          <fgColor indexed="64"/>
          <bgColor rgb="FF9A8878"/>
        </patternFill>
      </fill>
    </dxf>
    <dxf>
      <font>
        <b/>
        <i val="0"/>
        <color rgb="FFFFFFFF"/>
      </font>
      <fill>
        <patternFill patternType="solid">
          <fgColor indexed="64"/>
          <bgColor rgb="FF4E6E75"/>
        </patternFill>
      </fill>
    </dxf>
    <dxf>
      <font>
        <b/>
        <i val="0"/>
        <color rgb="FFFFFFFF"/>
      </font>
      <fill>
        <patternFill patternType="solid">
          <fgColor indexed="64"/>
          <bgColor rgb="FF7D3C58"/>
        </patternFill>
      </fill>
    </dxf>
    <dxf>
      <font>
        <b/>
        <i val="0"/>
        <color rgb="FFFFFFFF"/>
      </font>
      <fill>
        <patternFill patternType="solid">
          <fgColor indexed="64"/>
          <bgColor rgb="FF6E8B5A"/>
        </patternFill>
      </fill>
    </dxf>
    <dxf>
      <font>
        <b/>
        <i val="0"/>
        <color rgb="FFFFFFFF"/>
      </font>
      <fill>
        <patternFill patternType="solid">
          <fgColor indexed="64"/>
          <bgColor rgb="FFD9A125"/>
        </patternFill>
      </fill>
    </dxf>
    <dxf>
      <font>
        <b/>
        <i val="0"/>
        <color rgb="FFFFFFFF"/>
      </font>
      <fill>
        <patternFill patternType="solid">
          <fgColor indexed="64"/>
          <bgColor rgb="FFC4671E"/>
        </patternFill>
      </fill>
    </dxf>
    <dxf>
      <font>
        <b/>
        <i val="0"/>
        <color rgb="FFFFFFFF"/>
      </font>
      <fill>
        <patternFill patternType="solid">
          <fgColor indexed="64"/>
          <bgColor rgb="FFA0392B"/>
        </patternFill>
      </fill>
    </dxf>
    <dxf>
      <fill>
        <patternFill patternType="solid">
          <fgColor indexed="64"/>
          <bgColor rgb="FF9A8878"/>
        </patternFill>
      </fill>
    </dxf>
    <dxf>
      <fill>
        <patternFill patternType="solid">
          <fgColor indexed="64"/>
          <bgColor rgb="FF4E6E75"/>
        </patternFill>
      </fill>
    </dxf>
    <dxf>
      <fill>
        <patternFill patternType="solid">
          <fgColor indexed="64"/>
          <bgColor rgb="FF7D3C58"/>
        </patternFill>
      </fill>
    </dxf>
    <dxf>
      <fill>
        <patternFill patternType="solid">
          <fgColor indexed="64"/>
          <bgColor rgb="FF6E8B5A"/>
        </patternFill>
      </fill>
    </dxf>
    <dxf>
      <fill>
        <patternFill patternType="solid">
          <fgColor indexed="64"/>
          <bgColor rgb="FFD9A125"/>
        </patternFill>
      </fill>
    </dxf>
    <dxf>
      <fill>
        <patternFill patternType="solid">
          <fgColor indexed="64"/>
          <bgColor rgb="FFC4671E"/>
        </patternFill>
      </fill>
    </dxf>
    <dxf>
      <font>
        <b/>
        <i val="0"/>
        <color rgb="FFFFFFFF"/>
      </font>
      <fill>
        <patternFill patternType="solid">
          <fgColor indexed="64"/>
          <bgColor rgb="FF7F7F7F"/>
        </patternFill>
      </fill>
    </dxf>
    <dxf>
      <font>
        <b/>
        <i val="0"/>
        <color rgb="FFFFFFFF"/>
      </font>
      <fill>
        <patternFill patternType="solid">
          <fgColor indexed="64"/>
          <bgColor rgb="FF7E57A2"/>
        </patternFill>
      </fill>
    </dxf>
    <dxf>
      <font>
        <b/>
        <i val="0"/>
        <color rgb="FFFFFFFF"/>
      </font>
      <fill>
        <patternFill patternType="solid">
          <fgColor indexed="64"/>
          <bgColor rgb="FFB23A48"/>
        </patternFill>
      </fill>
    </dxf>
    <dxf>
      <font>
        <b/>
        <i val="0"/>
        <color rgb="FFFFFFFF"/>
      </font>
      <fill>
        <patternFill patternType="solid">
          <fgColor indexed="64"/>
          <bgColor rgb="FF2E9BB0"/>
        </patternFill>
      </fill>
    </dxf>
    <dxf>
      <font>
        <b/>
        <i val="0"/>
        <color rgb="FFFFFFFF"/>
      </font>
      <fill>
        <patternFill patternType="solid">
          <fgColor indexed="64"/>
          <bgColor rgb="FF9C5708"/>
        </patternFill>
      </fill>
    </dxf>
    <dxf>
      <font>
        <b/>
        <i val="0"/>
        <color rgb="FFFFFFFF"/>
      </font>
      <fill>
        <patternFill patternType="solid">
          <fgColor indexed="64"/>
          <bgColor rgb="FF2F7562"/>
        </patternFill>
      </fill>
    </dxf>
    <dxf>
      <font>
        <b/>
        <i val="0"/>
        <color rgb="FFFFFFFF"/>
      </font>
      <fill>
        <patternFill patternType="solid">
          <fgColor indexed="64"/>
          <bgColor rgb="FF305496"/>
        </patternFill>
      </fill>
    </dxf>
    <dxf>
      <fill>
        <patternFill patternType="solid">
          <fgColor indexed="64"/>
          <bgColor rgb="FF7F7F7F"/>
        </patternFill>
      </fill>
    </dxf>
    <dxf>
      <fill>
        <patternFill patternType="solid">
          <fgColor indexed="64"/>
          <bgColor rgb="FF7E57A2"/>
        </patternFill>
      </fill>
    </dxf>
    <dxf>
      <fill>
        <patternFill patternType="solid">
          <fgColor indexed="64"/>
          <bgColor rgb="FFB23A48"/>
        </patternFill>
      </fill>
    </dxf>
    <dxf>
      <fill>
        <patternFill patternType="solid">
          <fgColor indexed="64"/>
          <bgColor rgb="FF2E9BB0"/>
        </patternFill>
      </fill>
    </dxf>
    <dxf>
      <fill>
        <patternFill patternType="solid">
          <fgColor indexed="64"/>
          <bgColor rgb="FF9C5708"/>
        </patternFill>
      </fill>
    </dxf>
    <dxf>
      <fill>
        <patternFill patternType="solid">
          <fgColor indexed="64"/>
          <bgColor rgb="FF2F7562"/>
        </patternFill>
      </fill>
    </dxf>
    <dxf>
      <font>
        <b/>
        <i val="0"/>
        <color rgb="FFFFFFFF"/>
      </font>
      <fill>
        <patternFill patternType="solid">
          <fgColor indexed="64"/>
          <bgColor rgb="FF7F7F7F"/>
        </patternFill>
      </fill>
    </dxf>
    <dxf>
      <font>
        <b/>
        <i val="0"/>
        <color rgb="FFFFFFFF"/>
      </font>
      <fill>
        <patternFill patternType="solid">
          <fgColor indexed="64"/>
          <bgColor rgb="FF7E57A2"/>
        </patternFill>
      </fill>
    </dxf>
    <dxf>
      <font>
        <b/>
        <i val="0"/>
        <color rgb="FFFFFFFF"/>
      </font>
      <fill>
        <patternFill patternType="solid">
          <fgColor indexed="64"/>
          <bgColor rgb="FFB23A48"/>
        </patternFill>
      </fill>
    </dxf>
    <dxf>
      <font>
        <b/>
        <i val="0"/>
        <color rgb="FFFFFFFF"/>
      </font>
      <fill>
        <patternFill patternType="solid">
          <fgColor indexed="64"/>
          <bgColor rgb="FF2E9BB0"/>
        </patternFill>
      </fill>
    </dxf>
    <dxf>
      <font>
        <b/>
        <i val="0"/>
        <color rgb="FFFFFFFF"/>
      </font>
      <fill>
        <patternFill patternType="solid">
          <fgColor indexed="64"/>
          <bgColor rgb="FF9C5708"/>
        </patternFill>
      </fill>
    </dxf>
    <dxf>
      <font>
        <b/>
        <i val="0"/>
        <color rgb="FFFFFFFF"/>
      </font>
      <fill>
        <patternFill patternType="solid">
          <fgColor indexed="64"/>
          <bgColor rgb="FF2F7562"/>
        </patternFill>
      </fill>
    </dxf>
    <dxf>
      <font>
        <b/>
        <i val="0"/>
        <color rgb="FFFFFFFF"/>
      </font>
      <fill>
        <patternFill patternType="solid">
          <fgColor indexed="64"/>
          <bgColor rgb="FF305496"/>
        </patternFill>
      </fill>
    </dxf>
    <dxf>
      <border>
        <bottom style="thin">
          <color rgb="FF7F7F7F"/>
        </bottom>
      </border>
    </dxf>
    <dxf>
      <border>
        <bottom style="thin">
          <color rgb="FF7E57A2"/>
        </bottom>
      </border>
    </dxf>
    <dxf>
      <border>
        <bottom style="thin">
          <color rgb="FFB23A48"/>
        </bottom>
      </border>
    </dxf>
    <dxf>
      <border>
        <bottom style="thin">
          <color rgb="FF2E9BB0"/>
        </bottom>
      </border>
    </dxf>
    <dxf>
      <border>
        <bottom style="thin">
          <color rgb="FF9C5708"/>
        </bottom>
      </border>
    </dxf>
    <dxf>
      <border>
        <bottom style="thin">
          <color rgb="FF2F7562"/>
        </bottom>
      </border>
    </dxf>
    <dxf>
      <font>
        <b/>
        <i val="0"/>
        <color rgb="FFFFFFFF"/>
      </font>
      <fill>
        <patternFill patternType="solid">
          <fgColor indexed="64"/>
          <bgColor rgb="FF7F7F7F"/>
        </patternFill>
      </fill>
    </dxf>
    <dxf>
      <font>
        <b/>
        <i val="0"/>
        <color rgb="FFFFFFFF"/>
      </font>
      <fill>
        <patternFill patternType="solid">
          <fgColor indexed="64"/>
          <bgColor rgb="FF7E57A2"/>
        </patternFill>
      </fill>
    </dxf>
    <dxf>
      <font>
        <b/>
        <i val="0"/>
        <color rgb="FFFFFFFF"/>
      </font>
      <fill>
        <patternFill patternType="solid">
          <fgColor indexed="64"/>
          <bgColor rgb="FFB23A48"/>
        </patternFill>
      </fill>
    </dxf>
    <dxf>
      <font>
        <b/>
        <i val="0"/>
        <color rgb="FFFFFFFF"/>
      </font>
      <fill>
        <patternFill patternType="solid">
          <fgColor indexed="64"/>
          <bgColor rgb="FF2E9BB0"/>
        </patternFill>
      </fill>
    </dxf>
    <dxf>
      <font>
        <b/>
        <i val="0"/>
        <color rgb="FFFFFFFF"/>
      </font>
      <fill>
        <patternFill patternType="solid">
          <fgColor indexed="64"/>
          <bgColor rgb="FF9C5708"/>
        </patternFill>
      </fill>
    </dxf>
    <dxf>
      <font>
        <b/>
        <i val="0"/>
        <color rgb="FFFFFFFF"/>
      </font>
      <fill>
        <patternFill patternType="solid">
          <fgColor indexed="64"/>
          <bgColor rgb="FF2F7562"/>
        </patternFill>
      </fill>
    </dxf>
    <dxf>
      <font>
        <b/>
        <i val="0"/>
        <color rgb="FFFFFFFF"/>
      </font>
      <fill>
        <patternFill patternType="solid">
          <fgColor indexed="64"/>
          <bgColor rgb="FF305496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  <numFmt numFmtId="173" formatCode="#,##0.#"/>
    </dxf>
    <dxf>
      <font>
        <color rgb="FF0000FF"/>
      </font>
      <numFmt numFmtId="173" formatCode="#,##0.#"/>
    </dxf>
    <dxf>
      <font>
        <color rgb="FF0000FF"/>
      </font>
    </dxf>
    <dxf>
      <font>
        <color rgb="FF0000FF"/>
      </font>
    </dxf>
    <dxf>
      <font>
        <color rgb="FF0000FF"/>
      </font>
      <numFmt numFmtId="165" formatCode="dd\.mm\.yyyy"/>
    </dxf>
    <dxf>
      <font>
        <b/>
        <i val="0"/>
      </font>
      <fill>
        <patternFill patternType="solid">
          <fgColor indexed="64"/>
          <bgColor rgb="FFFFE699"/>
        </patternFill>
      </fill>
    </dxf>
    <dxf>
      <font>
        <color rgb="FF7F7F7F"/>
      </font>
      <numFmt numFmtId="0" formatCode="General"/>
    </dxf>
    <dxf>
      <font>
        <color rgb="FF7F7F7F"/>
      </font>
      <numFmt numFmtId="0" formatCode="General"/>
    </dxf>
    <dxf>
      <font>
        <color rgb="FF0000FF"/>
      </font>
    </dxf>
    <dxf>
      <font>
        <color rgb="FF0000FF"/>
      </font>
      <numFmt numFmtId="171" formatCode="0.0"/>
    </dxf>
    <dxf>
      <font>
        <color rgb="FF0000FF"/>
      </font>
      <numFmt numFmtId="2" formatCode="0.00"/>
    </dxf>
    <dxf>
      <font>
        <color rgb="FF0000FF"/>
      </font>
      <numFmt numFmtId="166" formatCode="#,##0;\(#,##0\);&quot;–&quot;"/>
    </dxf>
    <dxf>
      <numFmt numFmtId="165" formatCode="dd\.mm\.yyyy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15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A3B1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Vekt: estimert vs. faktisk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A3B1F"/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EST. VEKT</c:v>
          </c:tx>
          <c:spPr>
            <a:ln w="28575" cap="rnd">
              <a:solidFill>
                <a:srgbClr val="A0392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392B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Vekt!$Z$27:$Z$47</c:f>
              <c:numCache>
                <c:formatCode>General</c:formatCode>
                <c:ptCount val="21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</c:numCache>
            </c:numRef>
          </c:cat>
          <c:val>
            <c:numRef>
              <c:f>Vekt!$AA$27:$AA$47</c:f>
              <c:numCache>
                <c:formatCode>General</c:formatCode>
                <c:ptCount val="21"/>
                <c:pt idx="0">
                  <c:v>77.17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6-8846-9462-A4E53C8B5910}"/>
            </c:ext>
          </c:extLst>
        </c:ser>
        <c:ser>
          <c:idx val="1"/>
          <c:order val="1"/>
          <c:tx>
            <c:v>SNITTVEKT</c:v>
          </c:tx>
          <c:spPr>
            <a:ln w="28575" cap="rnd">
              <a:solidFill>
                <a:srgbClr val="C4671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4671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Vekt!$Z$27:$Z$47</c:f>
              <c:numCache>
                <c:formatCode>General</c:formatCode>
                <c:ptCount val="21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</c:numCache>
            </c:numRef>
          </c:cat>
          <c:val>
            <c:numRef>
              <c:f>Vekt!$AB$27:$AB$47</c:f>
              <c:numCache>
                <c:formatCode>General</c:formatCode>
                <c:ptCount val="21"/>
                <c:pt idx="0">
                  <c:v>77.5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56-8846-9462-A4E53C8B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005503"/>
        <c:axId val="1844007295"/>
      </c:lineChart>
      <c:catAx>
        <c:axId val="184400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Uke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44007295"/>
        <c:crosses val="autoZero"/>
        <c:auto val="1"/>
        <c:lblAlgn val="ctr"/>
        <c:lblOffset val="100"/>
        <c:noMultiLvlLbl val="0"/>
      </c:catAx>
      <c:valAx>
        <c:axId val="18440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4400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22</xdr:row>
      <xdr:rowOff>0</xdr:rowOff>
    </xdr:to>
    <xdr:graphicFrame macro="">
      <xdr:nvGraphicFramePr>
        <xdr:cNvPr id="2" name="VektChart">
          <a:extLst>
            <a:ext uri="{FF2B5EF4-FFF2-40B4-BE49-F238E27FC236}">
              <a16:creationId xmlns:a16="http://schemas.microsoft.com/office/drawing/2014/main" id="{C76F116A-39E0-7BE4-9BCC-BDA4AB868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847B34-E2C0-4443-8052-FC0C88878D1F}" name="Dagslogg" displayName="Dagslogg" ref="A3:G150" totalsRowShown="0">
  <autoFilter ref="A3:G150" xr:uid="{31847B34-E2C0-4443-8052-FC0C88878D1F}"/>
  <tableColumns count="7">
    <tableColumn id="1" xr3:uid="{B7BC4913-9528-E647-B193-038D84EC0F6B}" name="Dato" dataDxfId="65">
      <calculatedColumnFormula>Vekt!$E$4+ROW()-4</calculatedColumnFormula>
    </tableColumn>
    <tableColumn id="2" xr3:uid="{003A22F2-2DA7-A842-8909-07B0D5FA5315}" name="Uke" dataDxfId="60">
      <calculatedColumnFormula>_xlfn.ISOWEEKNUM(Dagslogg[[#This Row],[Dato]])</calculatedColumnFormula>
    </tableColumn>
    <tableColumn id="3" xr3:uid="{AFD603AE-DDBD-9F4F-A20C-2D1C9915A3B7}" name="Ukedag" dataDxfId="59">
      <calculatedColumnFormula>TEXT(Dagslogg[[#This Row],[Dato]],"ddd")</calculatedColumnFormula>
    </tableColumn>
    <tableColumn id="4" xr3:uid="{642ECD08-AC43-0F45-959B-9DD39BF21975}" name="Minus" dataDxfId="64"/>
    <tableColumn id="5" xr3:uid="{90B8BBE0-7F6E-1C41-872E-58F58D4423D2}" name="Vekt" dataDxfId="63"/>
    <tableColumn id="6" xr3:uid="{FF615236-CB0D-9A49-ACE9-70CC44047899}" name="Vidde" dataDxfId="62"/>
    <tableColumn id="7" xr3:uid="{C46E4AD2-4F82-A44E-9ADC-2830D978D84A}" name="Kommentar" dataDxfId="6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0AB96-6D6F-8E47-96CE-86CC51FD229F}" name="Treningslogg" displayName="Treningslogg" ref="A3:G203" totalsRowShown="0" dataDxfId="50">
  <autoFilter ref="A3:G203" xr:uid="{5FA0AB96-6D6F-8E47-96CE-86CC51FD229F}"/>
  <tableColumns count="7">
    <tableColumn id="1" xr3:uid="{1B14CEAE-B7EE-E34B-9122-BC7A0FE4B6A2}" name="Dato" dataDxfId="57"/>
    <tableColumn id="2" xr3:uid="{7700A3A8-1664-3D4A-ADF1-8608BE4D6E7C}" name="Type" dataDxfId="56"/>
    <tableColumn id="3" xr3:uid="{BED3CC8B-06D2-4E4E-8DF7-60BB76B52A90}" name="Beskrivelse" dataDxfId="55"/>
    <tableColumn id="4" xr3:uid="{354CA6B7-0ECC-3240-9E33-187EEF806644}" name="Varighet (min)" dataDxfId="54"/>
    <tableColumn id="5" xr3:uid="{B22A4DA8-B3C2-E942-A766-430983B80737}" name="Distanse (km)" dataDxfId="53"/>
    <tableColumn id="6" xr3:uid="{4399EE27-2796-F14E-AEAF-5728359427E0}" name="Intensitet" dataDxfId="52"/>
    <tableColumn id="7" xr3:uid="{28AEC246-D641-F248-B91C-C8CAD3690C12}" name="Kommentar" dataDxfId="5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924E92-4DA4-9F4C-AC80-405B821FD85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01448f2-8b0e-4b1f-a8dd-82d4da2c3d0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CB80-4049-B246-8D42-CE2590CC0094}">
  <sheetPr>
    <tabColor rgb="FF7A3B1F"/>
  </sheetPr>
  <dimension ref="B1:C75"/>
  <sheetViews>
    <sheetView showGridLines="0" tabSelected="1"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2.33203125" customWidth="1"/>
    <col min="2" max="2" width="25" customWidth="1"/>
    <col min="3" max="3" width="103.33203125" customWidth="1"/>
  </cols>
  <sheetData>
    <row r="1" spans="2:3" ht="21" x14ac:dyDescent="0.25">
      <c r="B1" s="272" t="s">
        <v>226</v>
      </c>
    </row>
    <row r="2" spans="2:3" x14ac:dyDescent="0.2">
      <c r="B2" s="273" t="s">
        <v>227</v>
      </c>
    </row>
    <row r="4" spans="2:3" x14ac:dyDescent="0.2">
      <c r="B4" s="293" t="s">
        <v>228</v>
      </c>
      <c r="C4" s="283" t="s">
        <v>299</v>
      </c>
    </row>
    <row r="5" spans="2:3" x14ac:dyDescent="0.2">
      <c r="B5" s="285" t="s">
        <v>229</v>
      </c>
      <c r="C5" s="286" t="s">
        <v>230</v>
      </c>
    </row>
    <row r="6" spans="2:3" ht="30" x14ac:dyDescent="0.2">
      <c r="B6" s="287" t="s">
        <v>231</v>
      </c>
      <c r="C6" s="288" t="s">
        <v>232</v>
      </c>
    </row>
    <row r="7" spans="2:3" x14ac:dyDescent="0.2">
      <c r="B7" s="287" t="s">
        <v>0</v>
      </c>
      <c r="C7" s="288" t="s">
        <v>233</v>
      </c>
    </row>
    <row r="8" spans="2:3" x14ac:dyDescent="0.2">
      <c r="B8" s="287" t="s">
        <v>234</v>
      </c>
      <c r="C8" s="288" t="s">
        <v>235</v>
      </c>
    </row>
    <row r="9" spans="2:3" x14ac:dyDescent="0.2">
      <c r="B9" s="287" t="s">
        <v>236</v>
      </c>
      <c r="C9" s="288" t="s">
        <v>242</v>
      </c>
    </row>
    <row r="10" spans="2:3" x14ac:dyDescent="0.2">
      <c r="B10" s="287" t="s">
        <v>197</v>
      </c>
      <c r="C10" s="288" t="s">
        <v>237</v>
      </c>
    </row>
    <row r="11" spans="2:3" x14ac:dyDescent="0.2">
      <c r="B11" s="287" t="s">
        <v>238</v>
      </c>
      <c r="C11" s="288" t="s">
        <v>239</v>
      </c>
    </row>
    <row r="12" spans="2:3" x14ac:dyDescent="0.2">
      <c r="B12" s="289" t="s">
        <v>240</v>
      </c>
      <c r="C12" s="290" t="s">
        <v>241</v>
      </c>
    </row>
    <row r="13" spans="2:3" x14ac:dyDescent="0.2">
      <c r="B13" s="281"/>
      <c r="C13" s="282"/>
    </row>
    <row r="14" spans="2:3" x14ac:dyDescent="0.2">
      <c r="B14" s="294" t="s">
        <v>243</v>
      </c>
      <c r="C14" s="286" t="s">
        <v>244</v>
      </c>
    </row>
    <row r="15" spans="2:3" x14ac:dyDescent="0.2">
      <c r="B15" s="291"/>
      <c r="C15" s="288" t="s">
        <v>245</v>
      </c>
    </row>
    <row r="16" spans="2:3" x14ac:dyDescent="0.2">
      <c r="B16" s="291"/>
      <c r="C16" s="288" t="s">
        <v>246</v>
      </c>
    </row>
    <row r="17" spans="2:3" x14ac:dyDescent="0.2">
      <c r="B17" s="292"/>
      <c r="C17" s="290" t="s">
        <v>247</v>
      </c>
    </row>
    <row r="18" spans="2:3" x14ac:dyDescent="0.2">
      <c r="B18" s="281"/>
      <c r="C18" s="282"/>
    </row>
    <row r="19" spans="2:3" ht="30" x14ac:dyDescent="0.2">
      <c r="B19" s="294" t="s">
        <v>248</v>
      </c>
      <c r="C19" s="286" t="s">
        <v>249</v>
      </c>
    </row>
    <row r="20" spans="2:3" x14ac:dyDescent="0.2">
      <c r="B20" s="291"/>
      <c r="C20" s="288" t="s">
        <v>250</v>
      </c>
    </row>
    <row r="21" spans="2:3" x14ac:dyDescent="0.2">
      <c r="B21" s="291"/>
      <c r="C21" s="288" t="s">
        <v>251</v>
      </c>
    </row>
    <row r="22" spans="2:3" ht="30" x14ac:dyDescent="0.2">
      <c r="B22" s="291"/>
      <c r="C22" s="288" t="s">
        <v>252</v>
      </c>
    </row>
    <row r="23" spans="2:3" ht="30" x14ac:dyDescent="0.2">
      <c r="B23" s="291"/>
      <c r="C23" s="288" t="s">
        <v>253</v>
      </c>
    </row>
    <row r="24" spans="2:3" x14ac:dyDescent="0.2">
      <c r="B24" s="291"/>
      <c r="C24" s="288" t="s">
        <v>254</v>
      </c>
    </row>
    <row r="25" spans="2:3" ht="30" x14ac:dyDescent="0.2">
      <c r="B25" s="292"/>
      <c r="C25" s="290" t="s">
        <v>255</v>
      </c>
    </row>
    <row r="26" spans="2:3" x14ac:dyDescent="0.2">
      <c r="B26" s="281"/>
      <c r="C26" s="282"/>
    </row>
    <row r="27" spans="2:3" x14ac:dyDescent="0.2">
      <c r="B27" s="294" t="s">
        <v>256</v>
      </c>
      <c r="C27" s="286" t="s">
        <v>257</v>
      </c>
    </row>
    <row r="28" spans="2:3" ht="30" x14ac:dyDescent="0.2">
      <c r="B28" s="291"/>
      <c r="C28" s="288" t="s">
        <v>258</v>
      </c>
    </row>
    <row r="29" spans="2:3" x14ac:dyDescent="0.2">
      <c r="B29" s="292"/>
      <c r="C29" s="290" t="s">
        <v>259</v>
      </c>
    </row>
    <row r="30" spans="2:3" x14ac:dyDescent="0.2">
      <c r="B30" s="281"/>
      <c r="C30" s="282"/>
    </row>
    <row r="31" spans="2:3" x14ac:dyDescent="0.2">
      <c r="B31" s="294" t="s">
        <v>260</v>
      </c>
      <c r="C31" s="286" t="s">
        <v>261</v>
      </c>
    </row>
    <row r="32" spans="2:3" ht="30" x14ac:dyDescent="0.2">
      <c r="B32" s="291"/>
      <c r="C32" s="288" t="s">
        <v>262</v>
      </c>
    </row>
    <row r="33" spans="2:3" x14ac:dyDescent="0.2">
      <c r="B33" s="292"/>
      <c r="C33" s="290" t="s">
        <v>263</v>
      </c>
    </row>
    <row r="34" spans="2:3" x14ac:dyDescent="0.2">
      <c r="B34" s="281"/>
      <c r="C34" s="282"/>
    </row>
    <row r="35" spans="2:3" ht="30" x14ac:dyDescent="0.2">
      <c r="B35" s="294" t="s">
        <v>264</v>
      </c>
      <c r="C35" s="286" t="s">
        <v>265</v>
      </c>
    </row>
    <row r="36" spans="2:3" ht="30" x14ac:dyDescent="0.2">
      <c r="B36" s="291"/>
      <c r="C36" s="288" t="s">
        <v>300</v>
      </c>
    </row>
    <row r="37" spans="2:3" ht="30" x14ac:dyDescent="0.2">
      <c r="B37" s="291"/>
      <c r="C37" s="288" t="s">
        <v>266</v>
      </c>
    </row>
    <row r="38" spans="2:3" x14ac:dyDescent="0.2">
      <c r="B38" s="291"/>
      <c r="C38" s="288" t="s">
        <v>267</v>
      </c>
    </row>
    <row r="39" spans="2:3" x14ac:dyDescent="0.2">
      <c r="B39" s="292"/>
      <c r="C39" s="290" t="s">
        <v>268</v>
      </c>
    </row>
    <row r="40" spans="2:3" x14ac:dyDescent="0.2">
      <c r="B40" s="281"/>
      <c r="C40" s="282"/>
    </row>
    <row r="41" spans="2:3" ht="30" x14ac:dyDescent="0.2">
      <c r="B41" s="294" t="s">
        <v>269</v>
      </c>
      <c r="C41" s="286" t="s">
        <v>270</v>
      </c>
    </row>
    <row r="42" spans="2:3" ht="30" x14ac:dyDescent="0.2">
      <c r="B42" s="291"/>
      <c r="C42" s="288" t="s">
        <v>271</v>
      </c>
    </row>
    <row r="43" spans="2:3" x14ac:dyDescent="0.2">
      <c r="B43" s="291"/>
      <c r="C43" s="288" t="s">
        <v>272</v>
      </c>
    </row>
    <row r="44" spans="2:3" ht="30" x14ac:dyDescent="0.2">
      <c r="B44" s="291"/>
      <c r="C44" s="288" t="s">
        <v>301</v>
      </c>
    </row>
    <row r="45" spans="2:3" ht="30" x14ac:dyDescent="0.2">
      <c r="B45" s="291"/>
      <c r="C45" s="288" t="s">
        <v>302</v>
      </c>
    </row>
    <row r="46" spans="2:3" ht="30" x14ac:dyDescent="0.2">
      <c r="B46" s="291"/>
      <c r="C46" s="288" t="s">
        <v>303</v>
      </c>
    </row>
    <row r="47" spans="2:3" ht="30" x14ac:dyDescent="0.2">
      <c r="B47" s="292"/>
      <c r="C47" s="290" t="s">
        <v>273</v>
      </c>
    </row>
    <row r="48" spans="2:3" x14ac:dyDescent="0.2">
      <c r="B48" s="281"/>
      <c r="C48" s="282"/>
    </row>
    <row r="49" spans="2:3" ht="30" x14ac:dyDescent="0.2">
      <c r="B49" s="295" t="s">
        <v>274</v>
      </c>
      <c r="C49" s="284" t="s">
        <v>275</v>
      </c>
    </row>
    <row r="50" spans="2:3" x14ac:dyDescent="0.2">
      <c r="B50" s="281"/>
      <c r="C50" s="282"/>
    </row>
    <row r="51" spans="2:3" ht="30" x14ac:dyDescent="0.2">
      <c r="B51" s="294" t="s">
        <v>276</v>
      </c>
      <c r="C51" s="286" t="s">
        <v>277</v>
      </c>
    </row>
    <row r="52" spans="2:3" ht="30" x14ac:dyDescent="0.2">
      <c r="B52" s="291"/>
      <c r="C52" s="288" t="s">
        <v>278</v>
      </c>
    </row>
    <row r="53" spans="2:3" ht="30" x14ac:dyDescent="0.2">
      <c r="B53" s="291"/>
      <c r="C53" s="288" t="s">
        <v>304</v>
      </c>
    </row>
    <row r="54" spans="2:3" x14ac:dyDescent="0.2">
      <c r="B54" s="291"/>
      <c r="C54" s="288" t="s">
        <v>279</v>
      </c>
    </row>
    <row r="55" spans="2:3" ht="30" x14ac:dyDescent="0.2">
      <c r="B55" s="292"/>
      <c r="C55" s="290" t="s">
        <v>280</v>
      </c>
    </row>
    <row r="56" spans="2:3" x14ac:dyDescent="0.2">
      <c r="B56" s="281"/>
      <c r="C56" s="282"/>
    </row>
    <row r="57" spans="2:3" x14ac:dyDescent="0.2">
      <c r="B57" s="294" t="s">
        <v>281</v>
      </c>
      <c r="C57" s="286" t="s">
        <v>282</v>
      </c>
    </row>
    <row r="58" spans="2:3" x14ac:dyDescent="0.2">
      <c r="B58" s="291"/>
      <c r="C58" s="288" t="s">
        <v>283</v>
      </c>
    </row>
    <row r="59" spans="2:3" x14ac:dyDescent="0.2">
      <c r="B59" s="291"/>
      <c r="C59" s="288" t="s">
        <v>284</v>
      </c>
    </row>
    <row r="60" spans="2:3" x14ac:dyDescent="0.2">
      <c r="B60" s="291"/>
      <c r="C60" s="288" t="s">
        <v>285</v>
      </c>
    </row>
    <row r="61" spans="2:3" x14ac:dyDescent="0.2">
      <c r="B61" s="291"/>
      <c r="C61" s="288" t="s">
        <v>286</v>
      </c>
    </row>
    <row r="62" spans="2:3" x14ac:dyDescent="0.2">
      <c r="B62" s="291"/>
      <c r="C62" s="288" t="s">
        <v>287</v>
      </c>
    </row>
    <row r="63" spans="2:3" x14ac:dyDescent="0.2">
      <c r="B63" s="291"/>
      <c r="C63" s="288" t="s">
        <v>288</v>
      </c>
    </row>
    <row r="64" spans="2:3" x14ac:dyDescent="0.2">
      <c r="B64" s="292"/>
      <c r="C64" s="290" t="s">
        <v>289</v>
      </c>
    </row>
    <row r="65" spans="2:3" x14ac:dyDescent="0.2">
      <c r="B65" s="281"/>
      <c r="C65" s="282"/>
    </row>
    <row r="66" spans="2:3" ht="30" x14ac:dyDescent="0.2">
      <c r="B66" s="294" t="s">
        <v>290</v>
      </c>
      <c r="C66" s="286" t="s">
        <v>291</v>
      </c>
    </row>
    <row r="67" spans="2:3" x14ac:dyDescent="0.2">
      <c r="B67" s="291"/>
      <c r="C67" s="288" t="s">
        <v>292</v>
      </c>
    </row>
    <row r="68" spans="2:3" x14ac:dyDescent="0.2">
      <c r="B68" s="291"/>
      <c r="C68" s="288" t="s">
        <v>293</v>
      </c>
    </row>
    <row r="69" spans="2:3" x14ac:dyDescent="0.2">
      <c r="B69" s="291"/>
      <c r="C69" s="288" t="s">
        <v>294</v>
      </c>
    </row>
    <row r="70" spans="2:3" ht="30" x14ac:dyDescent="0.2">
      <c r="B70" s="291"/>
      <c r="C70" s="288" t="s">
        <v>295</v>
      </c>
    </row>
    <row r="71" spans="2:3" x14ac:dyDescent="0.2">
      <c r="B71" s="292"/>
      <c r="C71" s="290" t="s">
        <v>296</v>
      </c>
    </row>
    <row r="72" spans="2:3" x14ac:dyDescent="0.2">
      <c r="B72" s="281"/>
      <c r="C72" s="282"/>
    </row>
    <row r="73" spans="2:3" ht="30" x14ac:dyDescent="0.2">
      <c r="B73" s="295" t="s">
        <v>297</v>
      </c>
      <c r="C73" s="284" t="s">
        <v>298</v>
      </c>
    </row>
    <row r="74" spans="2:3" x14ac:dyDescent="0.2">
      <c r="B74" s="281"/>
      <c r="C74" s="282"/>
    </row>
    <row r="75" spans="2:3" ht="60" x14ac:dyDescent="0.2">
      <c r="B75" s="295" t="inlineStr">
        <is>
          <t xml:space="preserve">13 · DASHBOARD</t>
        </is>
      </c>
      <c r="C75" s="284" t="inlineStr">
        <is>
          <t xml:space="preserve">Lagt til 31.07.2026, ligger først i arbeidsboken. Rent visningsark: nøkkeltall fra Vekt-statusen, «denne uken»-tall, økter per treningsform og ukentlig kaloriunderskudd mot ukemål (tekstbjelker med REPT). Alt er formler som leser fra Dagslogg, Treningslogg, Vekt og Oversikt — ingen inntasting, og ingen andre ark leser fra det. Grønn-tekst-konvensjonen i §9 er bevisst fraveket der for lesbarhet.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83E7-7200-E749-8EFF-5BC49E94EBAA}">
  <sheetPr>
    <tabColor rgb="FFA0392B"/>
  </sheetPr>
  <dimension ref="A1:P47"/>
  <sheetViews>
    <sheetView showGridLines="0" topLeftCell="A2" zoomScaleNormal="100" zoomScaleSheetLayoutView="100" workbookViewId="0">
      <selection activeCell="U30" sqref="U30"/>
    </sheetView>
  </sheetViews>
  <sheetFormatPr baseColWidth="10" defaultColWidth="8.83203125" defaultRowHeight="16" x14ac:dyDescent="0.2"/>
  <cols>
    <col min="1" max="1" width="1.6640625" style="1" customWidth="1"/>
    <col min="2" max="2" width="13" style="1" customWidth="1"/>
    <col min="3" max="3" width="6" style="1" customWidth="1"/>
    <col min="4" max="10" width="5.6640625" style="1" customWidth="1"/>
    <col min="11" max="12" width="8.6640625" style="1" customWidth="1"/>
    <col min="13" max="13" width="2.33203125" style="1" customWidth="1"/>
    <col min="14" max="14" width="4.33203125" style="1" customWidth="1"/>
    <col min="15" max="15" width="20" style="1" customWidth="1"/>
    <col min="16" max="16384" width="8.83203125" style="1"/>
  </cols>
  <sheetData>
    <row r="1" spans="1:16" ht="15.75" customHeight="1" x14ac:dyDescent="0.25">
      <c r="A1"/>
      <c r="B1" s="272" t="s">
        <v>185</v>
      </c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 x14ac:dyDescent="0.2">
      <c r="A2"/>
      <c r="B2" s="273" t="s">
        <v>186</v>
      </c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spans="1:16" ht="1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ht="15" customHeight="1" thickBo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15" customHeight="1" x14ac:dyDescent="0.2">
      <c r="A5"/>
      <c r="B5" s="188" t="s">
        <v>85</v>
      </c>
      <c r="C5" s="189" t="s">
        <v>86</v>
      </c>
      <c r="D5" s="189" t="s">
        <v>187</v>
      </c>
      <c r="E5" s="189" t="s">
        <v>188</v>
      </c>
      <c r="F5" s="189" t="s">
        <v>189</v>
      </c>
      <c r="G5" s="189" t="s">
        <v>190</v>
      </c>
      <c r="H5" s="189" t="s">
        <v>191</v>
      </c>
      <c r="I5" s="189" t="s">
        <v>192</v>
      </c>
      <c r="J5" s="189" t="s">
        <v>193</v>
      </c>
      <c r="K5" s="189" t="s">
        <v>194</v>
      </c>
      <c r="L5" s="190" t="s">
        <v>195</v>
      </c>
      <c r="M5"/>
      <c r="N5" s="177" t="s">
        <v>196</v>
      </c>
      <c r="O5" s="178"/>
      <c r="P5"/>
    </row>
    <row r="6" spans="1:16" ht="22" customHeight="1" x14ac:dyDescent="0.2">
      <c r="A6"/>
      <c r="B6" s="191" t="str">
        <f>IF(OR(ROW()=6,MONTH(D6)&lt;&gt;MONTH(D6-7)),PROPER(TEXT(D6,"mmmm")),"")</f>
        <v>Juli</v>
      </c>
      <c r="C6" s="192">
        <f>_xlfn.ISOWEEKNUM(D6)</f>
        <v>31</v>
      </c>
      <c r="D6" s="193">
        <f>Vekt!$E$4</f>
        <v>46230</v>
      </c>
      <c r="E6" s="193">
        <f>D6+1</f>
        <v>46231</v>
      </c>
      <c r="F6" s="193">
        <f>D6+2</f>
        <v>46232</v>
      </c>
      <c r="G6" s="193">
        <f>D6+3</f>
        <v>46233</v>
      </c>
      <c r="H6" s="193">
        <f>D6+4</f>
        <v>46234</v>
      </c>
      <c r="I6" s="193">
        <f>D6+5</f>
        <v>46235</v>
      </c>
      <c r="J6" s="193">
        <f>D6+6</f>
        <v>46236</v>
      </c>
      <c r="K6" s="194">
        <f>COUNTIFS(Treningslogg!$A:$A,"&gt;="&amp;D6,Treningslogg!$A:$A,"&lt;="&amp;J6)</f>
        <v>11</v>
      </c>
      <c r="L6" s="195" cm="1">
        <f t="array" ref="L6">SUMPRODUCT(--(COUNTIF(Treningslogg!$A:$A,D6:J6)&gt;0))</f>
        <v>7</v>
      </c>
      <c r="M6"/>
      <c r="N6" s="179"/>
      <c r="O6" s="172" t="s">
        <v>197</v>
      </c>
      <c r="P6"/>
    </row>
    <row r="7" spans="1:16" ht="7" customHeight="1" x14ac:dyDescent="0.2">
      <c r="A7"/>
      <c r="B7" s="196"/>
      <c r="C7" s="197"/>
      <c r="D7" s="198">
        <f>D6</f>
        <v>46230</v>
      </c>
      <c r="E7" s="198">
        <f>E6</f>
        <v>46231</v>
      </c>
      <c r="F7" s="198">
        <f>F6</f>
        <v>46232</v>
      </c>
      <c r="G7" s="198">
        <f>G6</f>
        <v>46233</v>
      </c>
      <c r="H7" s="198">
        <f>H6</f>
        <v>46234</v>
      </c>
      <c r="I7" s="198">
        <f>I6</f>
        <v>46235</v>
      </c>
      <c r="J7" s="198">
        <f>J6</f>
        <v>46236</v>
      </c>
      <c r="K7" s="199"/>
      <c r="L7" s="200"/>
      <c r="M7"/>
      <c r="N7"/>
      <c r="O7"/>
      <c r="P7"/>
    </row>
    <row r="8" spans="1:16" ht="22" customHeight="1" x14ac:dyDescent="0.2">
      <c r="A8"/>
      <c r="B8" s="201" t="str">
        <f>IF(OR(ROW()=6,MONTH(D8)&lt;&gt;MONTH(D8-7)),PROPER(TEXT(D8,"mmmm")),"")</f>
        <v>August</v>
      </c>
      <c r="C8" s="202">
        <f>_xlfn.ISOWEEKNUM(D8)</f>
        <v>32</v>
      </c>
      <c r="D8" s="193">
        <f>D6+7</f>
        <v>46237</v>
      </c>
      <c r="E8" s="193">
        <f>D8+1</f>
        <v>46238</v>
      </c>
      <c r="F8" s="193">
        <f>D8+2</f>
        <v>46239</v>
      </c>
      <c r="G8" s="193">
        <f>D8+3</f>
        <v>46240</v>
      </c>
      <c r="H8" s="193">
        <f>D8+4</f>
        <v>46241</v>
      </c>
      <c r="I8" s="193">
        <f>D8+5</f>
        <v>46242</v>
      </c>
      <c r="J8" s="193">
        <f>D8+6</f>
        <v>46243</v>
      </c>
      <c r="K8" s="203">
        <f>COUNTIFS(Treningslogg!$A:$A,"&gt;="&amp;D8,Treningslogg!$A:$A,"&lt;="&amp;J8)</f>
        <v>0</v>
      </c>
      <c r="L8" s="204" cm="1">
        <f t="array" ref="L8">SUMPRODUCT(--(COUNTIF(Treningslogg!$A:$A,D8:J8)&gt;0))</f>
        <v>0</v>
      </c>
      <c r="M8"/>
      <c r="N8" s="180"/>
      <c r="O8" s="172" t="s">
        <v>198</v>
      </c>
      <c r="P8"/>
    </row>
    <row r="9" spans="1:16" ht="7" customHeight="1" x14ac:dyDescent="0.2">
      <c r="A9"/>
      <c r="B9" s="196"/>
      <c r="C9" s="197"/>
      <c r="D9" s="198">
        <f>D8</f>
        <v>46237</v>
      </c>
      <c r="E9" s="198">
        <f>E8</f>
        <v>46238</v>
      </c>
      <c r="F9" s="198">
        <f>F8</f>
        <v>46239</v>
      </c>
      <c r="G9" s="198">
        <f>G8</f>
        <v>46240</v>
      </c>
      <c r="H9" s="198">
        <f>H8</f>
        <v>46241</v>
      </c>
      <c r="I9" s="198">
        <f>I8</f>
        <v>46242</v>
      </c>
      <c r="J9" s="198">
        <f>J8</f>
        <v>46243</v>
      </c>
      <c r="K9" s="199"/>
      <c r="L9" s="200"/>
      <c r="M9"/>
      <c r="N9"/>
      <c r="O9"/>
      <c r="P9"/>
    </row>
    <row r="10" spans="1:16" ht="22" customHeight="1" x14ac:dyDescent="0.2">
      <c r="A10"/>
      <c r="B10" s="201" t="str">
        <f>IF(OR(ROW()=6,MONTH(D10)&lt;&gt;MONTH(D10-7)),PROPER(TEXT(D10,"mmmm")),"")</f>
        <v/>
      </c>
      <c r="C10" s="202">
        <f>_xlfn.ISOWEEKNUM(D10)</f>
        <v>33</v>
      </c>
      <c r="D10" s="193">
        <f>D8+7</f>
        <v>46244</v>
      </c>
      <c r="E10" s="193">
        <f>D10+1</f>
        <v>46245</v>
      </c>
      <c r="F10" s="193">
        <f>D10+2</f>
        <v>46246</v>
      </c>
      <c r="G10" s="193">
        <f>D10+3</f>
        <v>46247</v>
      </c>
      <c r="H10" s="193">
        <f>D10+4</f>
        <v>46248</v>
      </c>
      <c r="I10" s="193">
        <f>D10+5</f>
        <v>46249</v>
      </c>
      <c r="J10" s="193">
        <f>D10+6</f>
        <v>46250</v>
      </c>
      <c r="K10" s="203">
        <f>COUNTIFS(Treningslogg!$A:$A,"&gt;="&amp;D10,Treningslogg!$A:$A,"&lt;="&amp;J10)</f>
        <v>0</v>
      </c>
      <c r="L10" s="204" cm="1">
        <f t="array" ref="L10">SUMPRODUCT(--(COUNTIF(Treningslogg!$A:$A,D10:J10)&gt;0))</f>
        <v>0</v>
      </c>
      <c r="M10"/>
      <c r="N10" s="181"/>
      <c r="O10" s="172" t="s">
        <v>199</v>
      </c>
      <c r="P10"/>
    </row>
    <row r="11" spans="1:16" ht="7" customHeight="1" x14ac:dyDescent="0.2">
      <c r="A11"/>
      <c r="B11" s="196"/>
      <c r="C11" s="197"/>
      <c r="D11" s="198">
        <f>D10</f>
        <v>46244</v>
      </c>
      <c r="E11" s="198">
        <f>E10</f>
        <v>46245</v>
      </c>
      <c r="F11" s="198">
        <f>F10</f>
        <v>46246</v>
      </c>
      <c r="G11" s="198">
        <f>G10</f>
        <v>46247</v>
      </c>
      <c r="H11" s="198">
        <f>H10</f>
        <v>46248</v>
      </c>
      <c r="I11" s="198">
        <f>I10</f>
        <v>46249</v>
      </c>
      <c r="J11" s="198">
        <f>J10</f>
        <v>46250</v>
      </c>
      <c r="K11" s="199"/>
      <c r="L11" s="200"/>
      <c r="M11"/>
      <c r="N11"/>
      <c r="O11"/>
      <c r="P11"/>
    </row>
    <row r="12" spans="1:16" ht="22" customHeight="1" x14ac:dyDescent="0.2">
      <c r="A12"/>
      <c r="B12" s="201" t="str">
        <f>IF(OR(ROW()=6,MONTH(D12)&lt;&gt;MONTH(D12-7)),PROPER(TEXT(D12,"mmmm")),"")</f>
        <v/>
      </c>
      <c r="C12" s="202">
        <f>_xlfn.ISOWEEKNUM(D12)</f>
        <v>34</v>
      </c>
      <c r="D12" s="193">
        <f>D10+7</f>
        <v>46251</v>
      </c>
      <c r="E12" s="193">
        <f>D12+1</f>
        <v>46252</v>
      </c>
      <c r="F12" s="193">
        <f>D12+2</f>
        <v>46253</v>
      </c>
      <c r="G12" s="193">
        <f>D12+3</f>
        <v>46254</v>
      </c>
      <c r="H12" s="193">
        <f>D12+4</f>
        <v>46255</v>
      </c>
      <c r="I12" s="193">
        <f>D12+5</f>
        <v>46256</v>
      </c>
      <c r="J12" s="193">
        <f>D12+6</f>
        <v>46257</v>
      </c>
      <c r="K12" s="203">
        <f>COUNTIFS(Treningslogg!$A:$A,"&gt;="&amp;D12,Treningslogg!$A:$A,"&lt;="&amp;J12)</f>
        <v>0</v>
      </c>
      <c r="L12" s="204" cm="1">
        <f t="array" ref="L12">SUMPRODUCT(--(COUNTIF(Treningslogg!$A:$A,D12:J12)&gt;0))</f>
        <v>0</v>
      </c>
      <c r="M12"/>
      <c r="N12" s="182"/>
      <c r="O12" s="172" t="s">
        <v>200</v>
      </c>
      <c r="P12"/>
    </row>
    <row r="13" spans="1:16" ht="7" customHeight="1" x14ac:dyDescent="0.2">
      <c r="A13"/>
      <c r="B13" s="196"/>
      <c r="C13" s="197"/>
      <c r="D13" s="198">
        <f>D12</f>
        <v>46251</v>
      </c>
      <c r="E13" s="198">
        <f>E12</f>
        <v>46252</v>
      </c>
      <c r="F13" s="198">
        <f>F12</f>
        <v>46253</v>
      </c>
      <c r="G13" s="198">
        <f>G12</f>
        <v>46254</v>
      </c>
      <c r="H13" s="198">
        <f>H12</f>
        <v>46255</v>
      </c>
      <c r="I13" s="198">
        <f>I12</f>
        <v>46256</v>
      </c>
      <c r="J13" s="198">
        <f>J12</f>
        <v>46257</v>
      </c>
      <c r="K13" s="199"/>
      <c r="L13" s="200"/>
      <c r="M13"/>
      <c r="N13"/>
      <c r="O13"/>
      <c r="P13"/>
    </row>
    <row r="14" spans="1:16" ht="22" customHeight="1" x14ac:dyDescent="0.2">
      <c r="A14"/>
      <c r="B14" s="201" t="str">
        <f>IF(OR(ROW()=6,MONTH(D14)&lt;&gt;MONTH(D14-7)),PROPER(TEXT(D14,"mmmm")),"")</f>
        <v/>
      </c>
      <c r="C14" s="202">
        <f>_xlfn.ISOWEEKNUM(D14)</f>
        <v>35</v>
      </c>
      <c r="D14" s="193">
        <f>D12+7</f>
        <v>46258</v>
      </c>
      <c r="E14" s="193">
        <f>D14+1</f>
        <v>46259</v>
      </c>
      <c r="F14" s="193">
        <f>D14+2</f>
        <v>46260</v>
      </c>
      <c r="G14" s="193">
        <f>D14+3</f>
        <v>46261</v>
      </c>
      <c r="H14" s="193">
        <f>D14+4</f>
        <v>46262</v>
      </c>
      <c r="I14" s="193">
        <f>D14+5</f>
        <v>46263</v>
      </c>
      <c r="J14" s="193">
        <f>D14+6</f>
        <v>46264</v>
      </c>
      <c r="K14" s="203">
        <f>COUNTIFS(Treningslogg!$A:$A,"&gt;="&amp;D14,Treningslogg!$A:$A,"&lt;="&amp;J14)</f>
        <v>0</v>
      </c>
      <c r="L14" s="204" cm="1">
        <f t="array" ref="L14">SUMPRODUCT(--(COUNTIF(Treningslogg!$A:$A,D14:J14)&gt;0))</f>
        <v>0</v>
      </c>
      <c r="M14"/>
      <c r="N14" s="183"/>
      <c r="O14" s="172" t="s">
        <v>201</v>
      </c>
      <c r="P14"/>
    </row>
    <row r="15" spans="1:16" ht="7" customHeight="1" x14ac:dyDescent="0.2">
      <c r="A15"/>
      <c r="B15" s="196"/>
      <c r="C15" s="197"/>
      <c r="D15" s="198">
        <f>D14</f>
        <v>46258</v>
      </c>
      <c r="E15" s="198">
        <f>E14</f>
        <v>46259</v>
      </c>
      <c r="F15" s="198">
        <f>F14</f>
        <v>46260</v>
      </c>
      <c r="G15" s="198">
        <f>G14</f>
        <v>46261</v>
      </c>
      <c r="H15" s="198">
        <f>H14</f>
        <v>46262</v>
      </c>
      <c r="I15" s="198">
        <f>I14</f>
        <v>46263</v>
      </c>
      <c r="J15" s="198">
        <f>J14</f>
        <v>46264</v>
      </c>
      <c r="K15" s="199"/>
      <c r="L15" s="200"/>
      <c r="M15"/>
      <c r="N15"/>
      <c r="O15"/>
      <c r="P15"/>
    </row>
    <row r="16" spans="1:16" ht="22" customHeight="1" x14ac:dyDescent="0.2">
      <c r="A16"/>
      <c r="B16" s="201" t="str">
        <f>IF(OR(ROW()=6,MONTH(D16)&lt;&gt;MONTH(D16-7)),PROPER(TEXT(D16,"mmmm")),"")</f>
        <v/>
      </c>
      <c r="C16" s="202">
        <f>_xlfn.ISOWEEKNUM(D16)</f>
        <v>36</v>
      </c>
      <c r="D16" s="193">
        <f>D14+7</f>
        <v>46265</v>
      </c>
      <c r="E16" s="193">
        <f>D16+1</f>
        <v>46266</v>
      </c>
      <c r="F16" s="193">
        <f>D16+2</f>
        <v>46267</v>
      </c>
      <c r="G16" s="193">
        <f>D16+3</f>
        <v>46268</v>
      </c>
      <c r="H16" s="193">
        <f>D16+4</f>
        <v>46269</v>
      </c>
      <c r="I16" s="193">
        <f>D16+5</f>
        <v>46270</v>
      </c>
      <c r="J16" s="193">
        <f>D16+6</f>
        <v>46271</v>
      </c>
      <c r="K16" s="203">
        <f>COUNTIFS(Treningslogg!$A:$A,"&gt;="&amp;D16,Treningslogg!$A:$A,"&lt;="&amp;J16)</f>
        <v>0</v>
      </c>
      <c r="L16" s="204" cm="1">
        <f t="array" ref="L16">SUMPRODUCT(--(COUNTIF(Treningslogg!$A:$A,D16:J16)&gt;0))</f>
        <v>0</v>
      </c>
      <c r="M16"/>
      <c r="N16" s="184"/>
      <c r="O16" s="172" t="s">
        <v>202</v>
      </c>
      <c r="P16"/>
    </row>
    <row r="17" spans="1:16" ht="7" customHeight="1" x14ac:dyDescent="0.2">
      <c r="A17"/>
      <c r="B17" s="196"/>
      <c r="C17" s="197"/>
      <c r="D17" s="198">
        <f>D16</f>
        <v>46265</v>
      </c>
      <c r="E17" s="198">
        <f>E16</f>
        <v>46266</v>
      </c>
      <c r="F17" s="198">
        <f>F16</f>
        <v>46267</v>
      </c>
      <c r="G17" s="198">
        <f>G16</f>
        <v>46268</v>
      </c>
      <c r="H17" s="198">
        <f>H16</f>
        <v>46269</v>
      </c>
      <c r="I17" s="198">
        <f>I16</f>
        <v>46270</v>
      </c>
      <c r="J17" s="198">
        <f>J16</f>
        <v>46271</v>
      </c>
      <c r="K17" s="199"/>
      <c r="L17" s="200"/>
      <c r="M17"/>
      <c r="N17"/>
      <c r="O17"/>
      <c r="P17"/>
    </row>
    <row r="18" spans="1:16" ht="22" customHeight="1" x14ac:dyDescent="0.2">
      <c r="A18"/>
      <c r="B18" s="201" t="str">
        <f>IF(OR(ROW()=6,MONTH(D18)&lt;&gt;MONTH(D18-7)),PROPER(TEXT(D18,"mmmm")),"")</f>
        <v>September</v>
      </c>
      <c r="C18" s="202">
        <f>_xlfn.ISOWEEKNUM(D18)</f>
        <v>37</v>
      </c>
      <c r="D18" s="193">
        <f>D16+7</f>
        <v>46272</v>
      </c>
      <c r="E18" s="193">
        <f>D18+1</f>
        <v>46273</v>
      </c>
      <c r="F18" s="193">
        <f>D18+2</f>
        <v>46274</v>
      </c>
      <c r="G18" s="193">
        <f>D18+3</f>
        <v>46275</v>
      </c>
      <c r="H18" s="193">
        <f>D18+4</f>
        <v>46276</v>
      </c>
      <c r="I18" s="193">
        <f>D18+5</f>
        <v>46277</v>
      </c>
      <c r="J18" s="193">
        <f>D18+6</f>
        <v>46278</v>
      </c>
      <c r="K18" s="203">
        <f>COUNTIFS(Treningslogg!$A:$A,"&gt;="&amp;D18,Treningslogg!$A:$A,"&lt;="&amp;J18)</f>
        <v>0</v>
      </c>
      <c r="L18" s="204" cm="1">
        <f t="array" ref="L18">SUMPRODUCT(--(COUNTIF(Treningslogg!$A:$A,D18:J18)&gt;0))</f>
        <v>0</v>
      </c>
      <c r="M18"/>
      <c r="N18" s="185"/>
      <c r="O18" s="172" t="s">
        <v>203</v>
      </c>
      <c r="P18"/>
    </row>
    <row r="19" spans="1:16" ht="7" customHeight="1" x14ac:dyDescent="0.2">
      <c r="A19"/>
      <c r="B19" s="196"/>
      <c r="C19" s="197"/>
      <c r="D19" s="198">
        <f>D18</f>
        <v>46272</v>
      </c>
      <c r="E19" s="198">
        <f>E18</f>
        <v>46273</v>
      </c>
      <c r="F19" s="198">
        <f>F18</f>
        <v>46274</v>
      </c>
      <c r="G19" s="198">
        <f>G18</f>
        <v>46275</v>
      </c>
      <c r="H19" s="198">
        <f>H18</f>
        <v>46276</v>
      </c>
      <c r="I19" s="198">
        <f>I18</f>
        <v>46277</v>
      </c>
      <c r="J19" s="198">
        <f>J18</f>
        <v>46278</v>
      </c>
      <c r="K19" s="199"/>
      <c r="L19" s="200"/>
      <c r="M19"/>
      <c r="N19"/>
      <c r="O19"/>
      <c r="P19"/>
    </row>
    <row r="20" spans="1:16" ht="22" customHeight="1" x14ac:dyDescent="0.2">
      <c r="A20"/>
      <c r="B20" s="201" t="str">
        <f>IF(OR(ROW()=6,MONTH(D20)&lt;&gt;MONTH(D20-7)),PROPER(TEXT(D20,"mmmm")),"")</f>
        <v/>
      </c>
      <c r="C20" s="202">
        <f>_xlfn.ISOWEEKNUM(D20)</f>
        <v>38</v>
      </c>
      <c r="D20" s="193">
        <f>D18+7</f>
        <v>46279</v>
      </c>
      <c r="E20" s="193">
        <f>D20+1</f>
        <v>46280</v>
      </c>
      <c r="F20" s="193">
        <f>D20+2</f>
        <v>46281</v>
      </c>
      <c r="G20" s="193">
        <f>D20+3</f>
        <v>46282</v>
      </c>
      <c r="H20" s="193">
        <f>D20+4</f>
        <v>46283</v>
      </c>
      <c r="I20" s="193">
        <f>D20+5</f>
        <v>46284</v>
      </c>
      <c r="J20" s="193">
        <f>D20+6</f>
        <v>46285</v>
      </c>
      <c r="K20" s="203">
        <f>COUNTIFS(Treningslogg!$A:$A,"&gt;="&amp;D20,Treningslogg!$A:$A,"&lt;="&amp;J20)</f>
        <v>0</v>
      </c>
      <c r="L20" s="204" cm="1">
        <f t="array" ref="L20">SUMPRODUCT(--(COUNTIF(Treningslogg!$A:$A,D20:J20)&gt;0))</f>
        <v>0</v>
      </c>
      <c r="M20"/>
      <c r="N20" s="173" t="s">
        <v>218</v>
      </c>
      <c r="O20" s="186" t="s">
        <v>219</v>
      </c>
      <c r="P20"/>
    </row>
    <row r="21" spans="1:16" ht="7" customHeight="1" x14ac:dyDescent="0.2">
      <c r="A21"/>
      <c r="B21" s="196"/>
      <c r="C21" s="197"/>
      <c r="D21" s="198">
        <f>D20</f>
        <v>46279</v>
      </c>
      <c r="E21" s="198">
        <f>E20</f>
        <v>46280</v>
      </c>
      <c r="F21" s="198">
        <f>F20</f>
        <v>46281</v>
      </c>
      <c r="G21" s="198">
        <f>G20</f>
        <v>46282</v>
      </c>
      <c r="H21" s="198">
        <f>H20</f>
        <v>46283</v>
      </c>
      <c r="I21" s="198">
        <f>I20</f>
        <v>46284</v>
      </c>
      <c r="J21" s="198">
        <f>J20</f>
        <v>46285</v>
      </c>
      <c r="K21" s="199"/>
      <c r="L21" s="200"/>
      <c r="M21"/>
      <c r="N21"/>
      <c r="O21"/>
      <c r="P21"/>
    </row>
    <row r="22" spans="1:16" ht="22" customHeight="1" x14ac:dyDescent="0.2">
      <c r="A22"/>
      <c r="B22" s="201" t="str">
        <f>IF(OR(ROW()=6,MONTH(D22)&lt;&gt;MONTH(D22-7)),PROPER(TEXT(D22,"mmmm")),"")</f>
        <v/>
      </c>
      <c r="C22" s="202">
        <f>_xlfn.ISOWEEKNUM(D22)</f>
        <v>39</v>
      </c>
      <c r="D22" s="193">
        <f>D20+7</f>
        <v>46286</v>
      </c>
      <c r="E22" s="193">
        <f>D22+1</f>
        <v>46287</v>
      </c>
      <c r="F22" s="193">
        <f>D22+2</f>
        <v>46288</v>
      </c>
      <c r="G22" s="193">
        <f>D22+3</f>
        <v>46289</v>
      </c>
      <c r="H22" s="193">
        <f>D22+4</f>
        <v>46290</v>
      </c>
      <c r="I22" s="193">
        <f>D22+5</f>
        <v>46291</v>
      </c>
      <c r="J22" s="193">
        <f>D22+6</f>
        <v>46292</v>
      </c>
      <c r="K22" s="203">
        <f>COUNTIFS(Treningslogg!$A:$A,"&gt;="&amp;D22,Treningslogg!$A:$A,"&lt;="&amp;J22)</f>
        <v>0</v>
      </c>
      <c r="L22" s="204" cm="1">
        <f t="array" ref="L22">SUMPRODUCT(--(COUNTIF(Treningslogg!$A:$A,D22:J22)&gt;0))</f>
        <v>0</v>
      </c>
      <c r="M22"/>
      <c r="N22" s="173" t="s">
        <v>217</v>
      </c>
      <c r="O22" s="186" t="s">
        <v>220</v>
      </c>
      <c r="P22"/>
    </row>
    <row r="23" spans="1:16" ht="7" customHeight="1" x14ac:dyDescent="0.2">
      <c r="A23"/>
      <c r="B23" s="196"/>
      <c r="C23" s="197"/>
      <c r="D23" s="198">
        <f>D22</f>
        <v>46286</v>
      </c>
      <c r="E23" s="198">
        <f>E22</f>
        <v>46287</v>
      </c>
      <c r="F23" s="198">
        <f>F22</f>
        <v>46288</v>
      </c>
      <c r="G23" s="198">
        <f>G22</f>
        <v>46289</v>
      </c>
      <c r="H23" s="198">
        <f>H22</f>
        <v>46290</v>
      </c>
      <c r="I23" s="198">
        <f>I22</f>
        <v>46291</v>
      </c>
      <c r="J23" s="198">
        <f>J22</f>
        <v>46292</v>
      </c>
      <c r="K23" s="199"/>
      <c r="L23" s="200"/>
      <c r="M23"/>
      <c r="N23"/>
      <c r="O23"/>
      <c r="P23"/>
    </row>
    <row r="24" spans="1:16" ht="22" customHeight="1" x14ac:dyDescent="0.2">
      <c r="A24"/>
      <c r="B24" s="201" t="str">
        <f>IF(OR(ROW()=6,MONTH(D24)&lt;&gt;MONTH(D24-7)),PROPER(TEXT(D24,"mmmm")),"")</f>
        <v/>
      </c>
      <c r="C24" s="202">
        <f>_xlfn.ISOWEEKNUM(D24)</f>
        <v>40</v>
      </c>
      <c r="D24" s="193">
        <f>D22+7</f>
        <v>46293</v>
      </c>
      <c r="E24" s="193">
        <f>D24+1</f>
        <v>46294</v>
      </c>
      <c r="F24" s="193">
        <f>D24+2</f>
        <v>46295</v>
      </c>
      <c r="G24" s="193">
        <f>D24+3</f>
        <v>46296</v>
      </c>
      <c r="H24" s="193">
        <f>D24+4</f>
        <v>46297</v>
      </c>
      <c r="I24" s="193">
        <f>D24+5</f>
        <v>46298</v>
      </c>
      <c r="J24" s="193">
        <f>D24+6</f>
        <v>46299</v>
      </c>
      <c r="K24" s="203">
        <f>COUNTIFS(Treningslogg!$A:$A,"&gt;="&amp;D24,Treningslogg!$A:$A,"&lt;="&amp;J24)</f>
        <v>0</v>
      </c>
      <c r="L24" s="204" cm="1">
        <f t="array" ref="L24">SUMPRODUCT(--(COUNTIF(Treningslogg!$A:$A,D24:J24)&gt;0))</f>
        <v>0</v>
      </c>
      <c r="M24"/>
      <c r="N24" s="174"/>
      <c r="O24" s="186" t="s">
        <v>221</v>
      </c>
      <c r="P24"/>
    </row>
    <row r="25" spans="1:16" ht="7" customHeight="1" x14ac:dyDescent="0.2">
      <c r="A25"/>
      <c r="B25" s="196"/>
      <c r="C25" s="197"/>
      <c r="D25" s="198">
        <f>D24</f>
        <v>46293</v>
      </c>
      <c r="E25" s="198">
        <f>E24</f>
        <v>46294</v>
      </c>
      <c r="F25" s="198">
        <f>F24</f>
        <v>46295</v>
      </c>
      <c r="G25" s="198">
        <f>G24</f>
        <v>46296</v>
      </c>
      <c r="H25" s="198">
        <f>H24</f>
        <v>46297</v>
      </c>
      <c r="I25" s="198">
        <f>I24</f>
        <v>46298</v>
      </c>
      <c r="J25" s="198">
        <f>J24</f>
        <v>46299</v>
      </c>
      <c r="K25" s="199"/>
      <c r="L25" s="200"/>
      <c r="M25"/>
      <c r="N25"/>
      <c r="O25"/>
      <c r="P25"/>
    </row>
    <row r="26" spans="1:16" ht="22" customHeight="1" x14ac:dyDescent="0.2">
      <c r="A26"/>
      <c r="B26" s="201" t="str">
        <f>IF(OR(ROW()=6,MONTH(D26)&lt;&gt;MONTH(D26-7)),PROPER(TEXT(D26,"mmmm")),"")</f>
        <v>Oktober</v>
      </c>
      <c r="C26" s="202">
        <f>_xlfn.ISOWEEKNUM(D26)</f>
        <v>41</v>
      </c>
      <c r="D26" s="193">
        <f>D24+7</f>
        <v>46300</v>
      </c>
      <c r="E26" s="193">
        <f>D26+1</f>
        <v>46301</v>
      </c>
      <c r="F26" s="193">
        <f>D26+2</f>
        <v>46302</v>
      </c>
      <c r="G26" s="193">
        <f>D26+3</f>
        <v>46303</v>
      </c>
      <c r="H26" s="193">
        <f>D26+4</f>
        <v>46304</v>
      </c>
      <c r="I26" s="193">
        <f>D26+5</f>
        <v>46305</v>
      </c>
      <c r="J26" s="193">
        <f>D26+6</f>
        <v>46306</v>
      </c>
      <c r="K26" s="203">
        <f>COUNTIFS(Treningslogg!$A:$A,"&gt;="&amp;D26,Treningslogg!$A:$A,"&lt;="&amp;J26)</f>
        <v>0</v>
      </c>
      <c r="L26" s="204" cm="1">
        <f t="array" ref="L26">SUMPRODUCT(--(COUNTIF(Treningslogg!$A:$A,D26:J26)&gt;0))</f>
        <v>0</v>
      </c>
      <c r="M26"/>
      <c r="N26"/>
      <c r="O26"/>
      <c r="P26"/>
    </row>
    <row r="27" spans="1:16" ht="7" customHeight="1" x14ac:dyDescent="0.2">
      <c r="A27"/>
      <c r="B27" s="196"/>
      <c r="C27" s="197"/>
      <c r="D27" s="198">
        <f>D26</f>
        <v>46300</v>
      </c>
      <c r="E27" s="198">
        <f>E26</f>
        <v>46301</v>
      </c>
      <c r="F27" s="198">
        <f>F26</f>
        <v>46302</v>
      </c>
      <c r="G27" s="198">
        <f>G26</f>
        <v>46303</v>
      </c>
      <c r="H27" s="198">
        <f>H26</f>
        <v>46304</v>
      </c>
      <c r="I27" s="198">
        <f>I26</f>
        <v>46305</v>
      </c>
      <c r="J27" s="198">
        <f>J26</f>
        <v>46306</v>
      </c>
      <c r="K27" s="199"/>
      <c r="L27" s="200"/>
      <c r="M27"/>
      <c r="N27"/>
      <c r="O27"/>
      <c r="P27"/>
    </row>
    <row r="28" spans="1:16" ht="22" customHeight="1" x14ac:dyDescent="0.2">
      <c r="A28"/>
      <c r="B28" s="201" t="str">
        <f>IF(OR(ROW()=6,MONTH(D28)&lt;&gt;MONTH(D28-7)),PROPER(TEXT(D28,"mmmm")),"")</f>
        <v/>
      </c>
      <c r="C28" s="202">
        <f>_xlfn.ISOWEEKNUM(D28)</f>
        <v>42</v>
      </c>
      <c r="D28" s="193">
        <f>D26+7</f>
        <v>46307</v>
      </c>
      <c r="E28" s="193">
        <f>D28+1</f>
        <v>46308</v>
      </c>
      <c r="F28" s="193">
        <f>D28+2</f>
        <v>46309</v>
      </c>
      <c r="G28" s="193">
        <f>D28+3</f>
        <v>46310</v>
      </c>
      <c r="H28" s="193">
        <f>D28+4</f>
        <v>46311</v>
      </c>
      <c r="I28" s="193">
        <f>D28+5</f>
        <v>46312</v>
      </c>
      <c r="J28" s="193">
        <f>D28+6</f>
        <v>46313</v>
      </c>
      <c r="K28" s="203">
        <f>COUNTIFS(Treningslogg!$A:$A,"&gt;="&amp;D28,Treningslogg!$A:$A,"&lt;="&amp;J28)</f>
        <v>0</v>
      </c>
      <c r="L28" s="204" cm="1">
        <f t="array" ref="L28">SUMPRODUCT(--(COUNTIF(Treningslogg!$A:$A,D28:J28)&gt;0))</f>
        <v>0</v>
      </c>
      <c r="M28"/>
      <c r="N28" s="175" t="s">
        <v>215</v>
      </c>
      <c r="O28" s="176" t="s">
        <v>216</v>
      </c>
      <c r="P28"/>
    </row>
    <row r="29" spans="1:16" ht="7" customHeight="1" x14ac:dyDescent="0.2">
      <c r="A29"/>
      <c r="B29" s="196"/>
      <c r="C29" s="197"/>
      <c r="D29" s="198">
        <f>D28</f>
        <v>46307</v>
      </c>
      <c r="E29" s="198">
        <f>E28</f>
        <v>46308</v>
      </c>
      <c r="F29" s="198">
        <f>F28</f>
        <v>46309</v>
      </c>
      <c r="G29" s="198">
        <f>G28</f>
        <v>46310</v>
      </c>
      <c r="H29" s="198">
        <f>H28</f>
        <v>46311</v>
      </c>
      <c r="I29" s="198">
        <f>I28</f>
        <v>46312</v>
      </c>
      <c r="J29" s="198">
        <f>J28</f>
        <v>46313</v>
      </c>
      <c r="K29" s="199"/>
      <c r="L29" s="200"/>
      <c r="M29"/>
      <c r="N29"/>
      <c r="O29"/>
      <c r="P29"/>
    </row>
    <row r="30" spans="1:16" ht="22" customHeight="1" x14ac:dyDescent="0.2">
      <c r="A30"/>
      <c r="B30" s="201" t="str">
        <f>IF(OR(ROW()=6,MONTH(D30)&lt;&gt;MONTH(D30-7)),PROPER(TEXT(D30,"mmmm")),"")</f>
        <v/>
      </c>
      <c r="C30" s="202">
        <f>_xlfn.ISOWEEKNUM(D30)</f>
        <v>43</v>
      </c>
      <c r="D30" s="193">
        <f>D28+7</f>
        <v>46314</v>
      </c>
      <c r="E30" s="193">
        <f>D30+1</f>
        <v>46315</v>
      </c>
      <c r="F30" s="193">
        <f>D30+2</f>
        <v>46316</v>
      </c>
      <c r="G30" s="193">
        <f>D30+3</f>
        <v>46317</v>
      </c>
      <c r="H30" s="193">
        <f>D30+4</f>
        <v>46318</v>
      </c>
      <c r="I30" s="193">
        <f>D30+5</f>
        <v>46319</v>
      </c>
      <c r="J30" s="193">
        <f>D30+6</f>
        <v>46320</v>
      </c>
      <c r="K30" s="203">
        <f>COUNTIFS(Treningslogg!$A:$A,"&gt;="&amp;D30,Treningslogg!$A:$A,"&lt;="&amp;J30)</f>
        <v>0</v>
      </c>
      <c r="L30" s="204" cm="1">
        <f t="array" ref="L30">SUMPRODUCT(--(COUNTIF(Treningslogg!$A:$A,D30:J30)&gt;0))</f>
        <v>0</v>
      </c>
      <c r="M30"/>
      <c r="N30"/>
      <c r="O30"/>
      <c r="P30"/>
    </row>
    <row r="31" spans="1:16" ht="7" customHeight="1" x14ac:dyDescent="0.2">
      <c r="B31" s="205"/>
      <c r="C31" s="206"/>
      <c r="D31" s="198">
        <f>D30</f>
        <v>46314</v>
      </c>
      <c r="E31" s="198">
        <f>E30</f>
        <v>46315</v>
      </c>
      <c r="F31" s="198">
        <f>F30</f>
        <v>46316</v>
      </c>
      <c r="G31" s="198">
        <f>G30</f>
        <v>46317</v>
      </c>
      <c r="H31" s="198">
        <f>H30</f>
        <v>46318</v>
      </c>
      <c r="I31" s="198">
        <f>I30</f>
        <v>46319</v>
      </c>
      <c r="J31" s="198">
        <f>J30</f>
        <v>46320</v>
      </c>
      <c r="K31" s="199"/>
      <c r="L31" s="200"/>
    </row>
    <row r="32" spans="1:16" ht="22" customHeight="1" x14ac:dyDescent="0.2">
      <c r="B32" s="207" t="str">
        <f>IF(OR(ROW()=6,MONTH(D32)&lt;&gt;MONTH(D32-7)),PROPER(TEXT(D32,"mmmm")),"")</f>
        <v/>
      </c>
      <c r="C32" s="208">
        <f>_xlfn.ISOWEEKNUM(D32)</f>
        <v>44</v>
      </c>
      <c r="D32" s="209">
        <f>D30+7</f>
        <v>46321</v>
      </c>
      <c r="E32" s="209">
        <f>D32+1</f>
        <v>46322</v>
      </c>
      <c r="F32" s="209">
        <f>D32+2</f>
        <v>46323</v>
      </c>
      <c r="G32" s="209">
        <f>D32+3</f>
        <v>46324</v>
      </c>
      <c r="H32" s="209">
        <f>D32+4</f>
        <v>46325</v>
      </c>
      <c r="I32" s="209">
        <f>D32+5</f>
        <v>46326</v>
      </c>
      <c r="J32" s="209">
        <f>D32+6</f>
        <v>46327</v>
      </c>
      <c r="K32" s="203">
        <f>COUNTIFS(Treningslogg!$A:$A,"&gt;="&amp;D32,Treningslogg!$A:$A,"&lt;="&amp;J32)</f>
        <v>0</v>
      </c>
      <c r="L32" s="204" cm="1">
        <f t="array" ref="L32">SUMPRODUCT(--(COUNTIF(Treningslogg!$A:$A,D32:J32)&gt;0))</f>
        <v>0</v>
      </c>
    </row>
    <row r="33" spans="2:12" ht="7" customHeight="1" x14ac:dyDescent="0.2">
      <c r="B33" s="205"/>
      <c r="C33" s="206"/>
      <c r="D33" s="198">
        <f>D32</f>
        <v>46321</v>
      </c>
      <c r="E33" s="198">
        <f>E32</f>
        <v>46322</v>
      </c>
      <c r="F33" s="198">
        <f>F32</f>
        <v>46323</v>
      </c>
      <c r="G33" s="198">
        <f>G32</f>
        <v>46324</v>
      </c>
      <c r="H33" s="198">
        <f>H32</f>
        <v>46325</v>
      </c>
      <c r="I33" s="198">
        <f>I32</f>
        <v>46326</v>
      </c>
      <c r="J33" s="198">
        <f>J32</f>
        <v>46327</v>
      </c>
      <c r="K33" s="199"/>
      <c r="L33" s="200"/>
    </row>
    <row r="34" spans="2:12" ht="22" customHeight="1" x14ac:dyDescent="0.2">
      <c r="B34" s="207" t="str">
        <f>IF(OR(ROW()=6,MONTH(D34)&lt;&gt;MONTH(D34-7)),PROPER(TEXT(D34,"mmmm")),"")</f>
        <v>November</v>
      </c>
      <c r="C34" s="208">
        <f>_xlfn.ISOWEEKNUM(D34)</f>
        <v>45</v>
      </c>
      <c r="D34" s="209">
        <f>D32+7</f>
        <v>46328</v>
      </c>
      <c r="E34" s="209">
        <f>D34+1</f>
        <v>46329</v>
      </c>
      <c r="F34" s="209">
        <f>D34+2</f>
        <v>46330</v>
      </c>
      <c r="G34" s="209">
        <f>D34+3</f>
        <v>46331</v>
      </c>
      <c r="H34" s="209">
        <f>D34+4</f>
        <v>46332</v>
      </c>
      <c r="I34" s="209">
        <f>D34+5</f>
        <v>46333</v>
      </c>
      <c r="J34" s="209">
        <f>D34+6</f>
        <v>46334</v>
      </c>
      <c r="K34" s="203">
        <f>COUNTIFS(Treningslogg!$A:$A,"&gt;="&amp;D34,Treningslogg!$A:$A,"&lt;="&amp;J34)</f>
        <v>0</v>
      </c>
      <c r="L34" s="204" cm="1">
        <f t="array" ref="L34">SUMPRODUCT(--(COUNTIF(Treningslogg!$A:$A,D34:J34)&gt;0))</f>
        <v>0</v>
      </c>
    </row>
    <row r="35" spans="2:12" ht="7" customHeight="1" x14ac:dyDescent="0.2">
      <c r="B35" s="205"/>
      <c r="C35" s="206"/>
      <c r="D35" s="198">
        <f>D34</f>
        <v>46328</v>
      </c>
      <c r="E35" s="198">
        <f>E34</f>
        <v>46329</v>
      </c>
      <c r="F35" s="198">
        <f>F34</f>
        <v>46330</v>
      </c>
      <c r="G35" s="198">
        <f>G34</f>
        <v>46331</v>
      </c>
      <c r="H35" s="198">
        <f>H34</f>
        <v>46332</v>
      </c>
      <c r="I35" s="198">
        <f>I34</f>
        <v>46333</v>
      </c>
      <c r="J35" s="198">
        <f>J34</f>
        <v>46334</v>
      </c>
      <c r="K35" s="199"/>
      <c r="L35" s="200"/>
    </row>
    <row r="36" spans="2:12" ht="22" customHeight="1" x14ac:dyDescent="0.2">
      <c r="B36" s="207" t="str">
        <f>IF(OR(ROW()=6,MONTH(D36)&lt;&gt;MONTH(D36-7)),PROPER(TEXT(D36,"mmmm")),"")</f>
        <v/>
      </c>
      <c r="C36" s="208">
        <f>_xlfn.ISOWEEKNUM(D36)</f>
        <v>46</v>
      </c>
      <c r="D36" s="209">
        <f>D34+7</f>
        <v>46335</v>
      </c>
      <c r="E36" s="209">
        <f>D36+1</f>
        <v>46336</v>
      </c>
      <c r="F36" s="209">
        <f>D36+2</f>
        <v>46337</v>
      </c>
      <c r="G36" s="209">
        <f>D36+3</f>
        <v>46338</v>
      </c>
      <c r="H36" s="209">
        <f>D36+4</f>
        <v>46339</v>
      </c>
      <c r="I36" s="209">
        <f>D36+5</f>
        <v>46340</v>
      </c>
      <c r="J36" s="209">
        <f>D36+6</f>
        <v>46341</v>
      </c>
      <c r="K36" s="203">
        <f>COUNTIFS(Treningslogg!$A:$A,"&gt;="&amp;D36,Treningslogg!$A:$A,"&lt;="&amp;J36)</f>
        <v>0</v>
      </c>
      <c r="L36" s="204" cm="1">
        <f t="array" ref="L36">SUMPRODUCT(--(COUNTIF(Treningslogg!$A:$A,D36:J36)&gt;0))</f>
        <v>0</v>
      </c>
    </row>
    <row r="37" spans="2:12" ht="7" customHeight="1" x14ac:dyDescent="0.2">
      <c r="B37" s="205"/>
      <c r="C37" s="206"/>
      <c r="D37" s="198">
        <f>D36</f>
        <v>46335</v>
      </c>
      <c r="E37" s="198">
        <f>E36</f>
        <v>46336</v>
      </c>
      <c r="F37" s="198">
        <f>F36</f>
        <v>46337</v>
      </c>
      <c r="G37" s="198">
        <f>G36</f>
        <v>46338</v>
      </c>
      <c r="H37" s="198">
        <f>H36</f>
        <v>46339</v>
      </c>
      <c r="I37" s="198">
        <f>I36</f>
        <v>46340</v>
      </c>
      <c r="J37" s="198">
        <f>J36</f>
        <v>46341</v>
      </c>
      <c r="K37" s="199"/>
      <c r="L37" s="200"/>
    </row>
    <row r="38" spans="2:12" ht="22" customHeight="1" x14ac:dyDescent="0.2">
      <c r="B38" s="207" t="str">
        <f>IF(OR(ROW()=6,MONTH(D38)&lt;&gt;MONTH(D38-7)),PROPER(TEXT(D38,"mmmm")),"")</f>
        <v/>
      </c>
      <c r="C38" s="208">
        <f>_xlfn.ISOWEEKNUM(D38)</f>
        <v>47</v>
      </c>
      <c r="D38" s="209">
        <f>D36+7</f>
        <v>46342</v>
      </c>
      <c r="E38" s="209">
        <f>D38+1</f>
        <v>46343</v>
      </c>
      <c r="F38" s="209">
        <f>D38+2</f>
        <v>46344</v>
      </c>
      <c r="G38" s="209">
        <f>D38+3</f>
        <v>46345</v>
      </c>
      <c r="H38" s="209">
        <f>D38+4</f>
        <v>46346</v>
      </c>
      <c r="I38" s="209">
        <f>D38+5</f>
        <v>46347</v>
      </c>
      <c r="J38" s="209">
        <f>D38+6</f>
        <v>46348</v>
      </c>
      <c r="K38" s="203">
        <f>COUNTIFS(Treningslogg!$A:$A,"&gt;="&amp;D38,Treningslogg!$A:$A,"&lt;="&amp;J38)</f>
        <v>0</v>
      </c>
      <c r="L38" s="204" cm="1">
        <f t="array" ref="L38">SUMPRODUCT(--(COUNTIF(Treningslogg!$A:$A,D38:J38)&gt;0))</f>
        <v>0</v>
      </c>
    </row>
    <row r="39" spans="2:12" ht="7" customHeight="1" x14ac:dyDescent="0.2">
      <c r="B39" s="205"/>
      <c r="C39" s="206"/>
      <c r="D39" s="198">
        <f>D38</f>
        <v>46342</v>
      </c>
      <c r="E39" s="198">
        <f>E38</f>
        <v>46343</v>
      </c>
      <c r="F39" s="198">
        <f>F38</f>
        <v>46344</v>
      </c>
      <c r="G39" s="198">
        <f>G38</f>
        <v>46345</v>
      </c>
      <c r="H39" s="198">
        <f>H38</f>
        <v>46346</v>
      </c>
      <c r="I39" s="198">
        <f>I38</f>
        <v>46347</v>
      </c>
      <c r="J39" s="198">
        <f>J38</f>
        <v>46348</v>
      </c>
      <c r="K39" s="199"/>
      <c r="L39" s="200"/>
    </row>
    <row r="40" spans="2:12" ht="22" customHeight="1" x14ac:dyDescent="0.2">
      <c r="B40" s="207" t="str">
        <f>IF(OR(ROW()=6,MONTH(D40)&lt;&gt;MONTH(D40-7)),PROPER(TEXT(D40,"mmmm")),"")</f>
        <v/>
      </c>
      <c r="C40" s="208">
        <f>_xlfn.ISOWEEKNUM(D40)</f>
        <v>48</v>
      </c>
      <c r="D40" s="209">
        <f>D38+7</f>
        <v>46349</v>
      </c>
      <c r="E40" s="209">
        <f>D40+1</f>
        <v>46350</v>
      </c>
      <c r="F40" s="209">
        <f>D40+2</f>
        <v>46351</v>
      </c>
      <c r="G40" s="209">
        <f>D40+3</f>
        <v>46352</v>
      </c>
      <c r="H40" s="209">
        <f>D40+4</f>
        <v>46353</v>
      </c>
      <c r="I40" s="209">
        <f>D40+5</f>
        <v>46354</v>
      </c>
      <c r="J40" s="209">
        <f>D40+6</f>
        <v>46355</v>
      </c>
      <c r="K40" s="203">
        <f>COUNTIFS(Treningslogg!$A:$A,"&gt;="&amp;D40,Treningslogg!$A:$A,"&lt;="&amp;J40)</f>
        <v>0</v>
      </c>
      <c r="L40" s="204" cm="1">
        <f t="array" ref="L40">SUMPRODUCT(--(COUNTIF(Treningslogg!$A:$A,D40:J40)&gt;0))</f>
        <v>0</v>
      </c>
    </row>
    <row r="41" spans="2:12" ht="7" customHeight="1" x14ac:dyDescent="0.2">
      <c r="B41" s="205"/>
      <c r="C41" s="206"/>
      <c r="D41" s="198">
        <f>D40</f>
        <v>46349</v>
      </c>
      <c r="E41" s="198">
        <f>E40</f>
        <v>46350</v>
      </c>
      <c r="F41" s="198">
        <f>F40</f>
        <v>46351</v>
      </c>
      <c r="G41" s="198">
        <f>G40</f>
        <v>46352</v>
      </c>
      <c r="H41" s="198">
        <f>H40</f>
        <v>46353</v>
      </c>
      <c r="I41" s="198">
        <f>I40</f>
        <v>46354</v>
      </c>
      <c r="J41" s="198">
        <f>J40</f>
        <v>46355</v>
      </c>
      <c r="K41" s="199"/>
      <c r="L41" s="200"/>
    </row>
    <row r="42" spans="2:12" ht="22" customHeight="1" x14ac:dyDescent="0.2">
      <c r="B42" s="207" t="str">
        <f>IF(OR(ROW()=6,MONTH(D42)&lt;&gt;MONTH(D42-7)),PROPER(TEXT(D42,"mmmm")),"")</f>
        <v/>
      </c>
      <c r="C42" s="208">
        <f>_xlfn.ISOWEEKNUM(D42)</f>
        <v>49</v>
      </c>
      <c r="D42" s="209">
        <f>D40+7</f>
        <v>46356</v>
      </c>
      <c r="E42" s="209">
        <f>D42+1</f>
        <v>46357</v>
      </c>
      <c r="F42" s="209">
        <f>D42+2</f>
        <v>46358</v>
      </c>
      <c r="G42" s="209">
        <f>D42+3</f>
        <v>46359</v>
      </c>
      <c r="H42" s="209">
        <f>D42+4</f>
        <v>46360</v>
      </c>
      <c r="I42" s="209">
        <f>D42+5</f>
        <v>46361</v>
      </c>
      <c r="J42" s="209">
        <f>D42+6</f>
        <v>46362</v>
      </c>
      <c r="K42" s="203">
        <f>COUNTIFS(Treningslogg!$A:$A,"&gt;="&amp;D42,Treningslogg!$A:$A,"&lt;="&amp;J42)</f>
        <v>0</v>
      </c>
      <c r="L42" s="204" cm="1">
        <f t="array" ref="L42">SUMPRODUCT(--(COUNTIF(Treningslogg!$A:$A,D42:J42)&gt;0))</f>
        <v>0</v>
      </c>
    </row>
    <row r="43" spans="2:12" ht="7" customHeight="1" x14ac:dyDescent="0.2">
      <c r="B43" s="205"/>
      <c r="C43" s="206"/>
      <c r="D43" s="198">
        <f>D42</f>
        <v>46356</v>
      </c>
      <c r="E43" s="198">
        <f>E42</f>
        <v>46357</v>
      </c>
      <c r="F43" s="198">
        <f>F42</f>
        <v>46358</v>
      </c>
      <c r="G43" s="198">
        <f>G42</f>
        <v>46359</v>
      </c>
      <c r="H43" s="198">
        <f>H42</f>
        <v>46360</v>
      </c>
      <c r="I43" s="198">
        <f>I42</f>
        <v>46361</v>
      </c>
      <c r="J43" s="198">
        <f>J42</f>
        <v>46362</v>
      </c>
      <c r="K43" s="199"/>
      <c r="L43" s="200"/>
    </row>
    <row r="44" spans="2:12" ht="22" customHeight="1" x14ac:dyDescent="0.2">
      <c r="B44" s="207" t="str">
        <f>IF(OR(ROW()=6,MONTH(D44)&lt;&gt;MONTH(D44-7)),PROPER(TEXT(D44,"mmmm")),"")</f>
        <v>Desember</v>
      </c>
      <c r="C44" s="208">
        <f>_xlfn.ISOWEEKNUM(D44)</f>
        <v>50</v>
      </c>
      <c r="D44" s="209">
        <f>D42+7</f>
        <v>46363</v>
      </c>
      <c r="E44" s="209">
        <f>D44+1</f>
        <v>46364</v>
      </c>
      <c r="F44" s="209">
        <f>D44+2</f>
        <v>46365</v>
      </c>
      <c r="G44" s="209">
        <f>D44+3</f>
        <v>46366</v>
      </c>
      <c r="H44" s="209">
        <f>D44+4</f>
        <v>46367</v>
      </c>
      <c r="I44" s="209">
        <f>D44+5</f>
        <v>46368</v>
      </c>
      <c r="J44" s="209">
        <f>D44+6</f>
        <v>46369</v>
      </c>
      <c r="K44" s="203">
        <f>COUNTIFS(Treningslogg!$A:$A,"&gt;="&amp;D44,Treningslogg!$A:$A,"&lt;="&amp;J44)</f>
        <v>0</v>
      </c>
      <c r="L44" s="204" cm="1">
        <f t="array" ref="L44">SUMPRODUCT(--(COUNTIF(Treningslogg!$A:$A,D44:J44)&gt;0))</f>
        <v>0</v>
      </c>
    </row>
    <row r="45" spans="2:12" ht="7" customHeight="1" x14ac:dyDescent="0.2">
      <c r="B45" s="205"/>
      <c r="C45" s="206"/>
      <c r="D45" s="198">
        <f>D44</f>
        <v>46363</v>
      </c>
      <c r="E45" s="198">
        <f>E44</f>
        <v>46364</v>
      </c>
      <c r="F45" s="198">
        <f>F44</f>
        <v>46365</v>
      </c>
      <c r="G45" s="198">
        <f>G44</f>
        <v>46366</v>
      </c>
      <c r="H45" s="198">
        <f>H44</f>
        <v>46367</v>
      </c>
      <c r="I45" s="198">
        <f>I44</f>
        <v>46368</v>
      </c>
      <c r="J45" s="198">
        <f>J44</f>
        <v>46369</v>
      </c>
      <c r="K45" s="199"/>
      <c r="L45" s="200"/>
    </row>
    <row r="46" spans="2:12" ht="22" customHeight="1" x14ac:dyDescent="0.2">
      <c r="B46" s="207" t="str">
        <f>IF(OR(ROW()=6,MONTH(D46)&lt;&gt;MONTH(D46-7)),PROPER(TEXT(D46,"mmmm")),"")</f>
        <v/>
      </c>
      <c r="C46" s="208">
        <f>_xlfn.ISOWEEKNUM(D46)</f>
        <v>51</v>
      </c>
      <c r="D46" s="209">
        <f>D44+7</f>
        <v>46370</v>
      </c>
      <c r="E46" s="209">
        <f>D46+1</f>
        <v>46371</v>
      </c>
      <c r="F46" s="209">
        <f>D46+2</f>
        <v>46372</v>
      </c>
      <c r="G46" s="209">
        <f>D46+3</f>
        <v>46373</v>
      </c>
      <c r="H46" s="209">
        <f>D46+4</f>
        <v>46374</v>
      </c>
      <c r="I46" s="209">
        <f>D46+5</f>
        <v>46375</v>
      </c>
      <c r="J46" s="209">
        <f>D46+6</f>
        <v>46376</v>
      </c>
      <c r="K46" s="203">
        <f>COUNTIFS(Treningslogg!$A:$A,"&gt;="&amp;D46,Treningslogg!$A:$A,"&lt;="&amp;J46)</f>
        <v>0</v>
      </c>
      <c r="L46" s="204" cm="1">
        <f t="array" ref="L46">SUMPRODUCT(--(COUNTIF(Treningslogg!$A:$A,D46:J46)&gt;0))</f>
        <v>0</v>
      </c>
    </row>
    <row r="47" spans="2:12" ht="7" customHeight="1" thickBot="1" x14ac:dyDescent="0.25">
      <c r="B47" s="210"/>
      <c r="C47" s="211"/>
      <c r="D47" s="212">
        <f>D46</f>
        <v>46370</v>
      </c>
      <c r="E47" s="212">
        <f>E46</f>
        <v>46371</v>
      </c>
      <c r="F47" s="212">
        <f>F46</f>
        <v>46372</v>
      </c>
      <c r="G47" s="212">
        <f>G46</f>
        <v>46373</v>
      </c>
      <c r="H47" s="212">
        <f>H46</f>
        <v>46374</v>
      </c>
      <c r="I47" s="212">
        <f>I46</f>
        <v>46375</v>
      </c>
      <c r="J47" s="212">
        <f>J46</f>
        <v>46376</v>
      </c>
      <c r="K47" s="213"/>
      <c r="L47" s="214"/>
    </row>
  </sheetData>
  <mergeCells count="85">
    <mergeCell ref="B46:B47"/>
    <mergeCell ref="C46:C47"/>
    <mergeCell ref="K46:K47"/>
    <mergeCell ref="L46:L47"/>
    <mergeCell ref="N5:O5"/>
    <mergeCell ref="B42:B43"/>
    <mergeCell ref="C42:C43"/>
    <mergeCell ref="K42:K43"/>
    <mergeCell ref="L42:L43"/>
    <mergeCell ref="B44:B45"/>
    <mergeCell ref="C44:C45"/>
    <mergeCell ref="K44:K45"/>
    <mergeCell ref="L44:L45"/>
    <mergeCell ref="B38:B39"/>
    <mergeCell ref="C38:C39"/>
    <mergeCell ref="K38:K39"/>
    <mergeCell ref="L38:L39"/>
    <mergeCell ref="B40:B41"/>
    <mergeCell ref="C40:C41"/>
    <mergeCell ref="K40:K41"/>
    <mergeCell ref="L40:L41"/>
    <mergeCell ref="B34:B35"/>
    <mergeCell ref="C34:C35"/>
    <mergeCell ref="K34:K35"/>
    <mergeCell ref="L34:L35"/>
    <mergeCell ref="B36:B37"/>
    <mergeCell ref="C36:C37"/>
    <mergeCell ref="K36:K37"/>
    <mergeCell ref="L36:L37"/>
    <mergeCell ref="B30:B31"/>
    <mergeCell ref="C30:C31"/>
    <mergeCell ref="K30:K31"/>
    <mergeCell ref="L30:L31"/>
    <mergeCell ref="B32:B33"/>
    <mergeCell ref="C32:C33"/>
    <mergeCell ref="K32:K33"/>
    <mergeCell ref="L32:L33"/>
    <mergeCell ref="B26:B27"/>
    <mergeCell ref="C26:C27"/>
    <mergeCell ref="K26:K27"/>
    <mergeCell ref="L26:L27"/>
    <mergeCell ref="B28:B29"/>
    <mergeCell ref="C28:C29"/>
    <mergeCell ref="K28:K29"/>
    <mergeCell ref="L28:L29"/>
    <mergeCell ref="B22:B23"/>
    <mergeCell ref="C22:C23"/>
    <mergeCell ref="K22:K23"/>
    <mergeCell ref="L22:L23"/>
    <mergeCell ref="B24:B25"/>
    <mergeCell ref="C24:C25"/>
    <mergeCell ref="K24:K25"/>
    <mergeCell ref="L24:L25"/>
    <mergeCell ref="B18:B19"/>
    <mergeCell ref="C18:C19"/>
    <mergeCell ref="K18:K19"/>
    <mergeCell ref="L18:L19"/>
    <mergeCell ref="B20:B21"/>
    <mergeCell ref="C20:C21"/>
    <mergeCell ref="K20:K21"/>
    <mergeCell ref="L20:L21"/>
    <mergeCell ref="B14:B15"/>
    <mergeCell ref="C14:C15"/>
    <mergeCell ref="K14:K15"/>
    <mergeCell ref="L14:L15"/>
    <mergeCell ref="B16:B17"/>
    <mergeCell ref="C16:C17"/>
    <mergeCell ref="K16:K17"/>
    <mergeCell ref="L16:L17"/>
    <mergeCell ref="B10:B11"/>
    <mergeCell ref="C10:C11"/>
    <mergeCell ref="K10:K11"/>
    <mergeCell ref="L10:L11"/>
    <mergeCell ref="B12:B13"/>
    <mergeCell ref="C12:C13"/>
    <mergeCell ref="K12:K13"/>
    <mergeCell ref="L12:L13"/>
    <mergeCell ref="B6:B7"/>
    <mergeCell ref="C6:C7"/>
    <mergeCell ref="K6:K7"/>
    <mergeCell ref="L6:L7"/>
    <mergeCell ref="B8:B9"/>
    <mergeCell ref="C8:C9"/>
    <mergeCell ref="K8:K9"/>
    <mergeCell ref="L8:L9"/>
  </mergeCells>
  <phoneticPr fontId="2" alignment="center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93EBA11-10CE-A243-9964-BEFF460E01D2}">
            <xm:f>AND(ISODD(ROW()),COUNTIFS(Treningslogg!$A:$A,D6,Treningslogg!$B:$B,"Løping")&gt;0,(COUNTIFS(Treningslogg!$A:$A,D6,Treningslogg!$B:$B,"Styrketrening"))&gt;0)</xm:f>
            <x14:dxf>
              <fill>
                <patternFill patternType="solid">
                  <fgColor indexed="64"/>
                  <bgColor rgb="FFC4671E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4" stopIfTrue="1" id="{42ECCBB8-FA44-4340-9BFC-6B040A250623}">
            <xm:f>AND(ISODD(ROW()),COUNTIFS(Treningslogg!$A:$A,D6,Treningslogg!$B:$B,"Sykling")&gt;0,(COUNTIFS(Treningslogg!$A:$A,D6,Treningslogg!$B:$B,"Styrketrening")+COUNTIFS(Treningslogg!$A:$A,D6,Treningslogg!$B:$B,"Løping"))&gt;0)</xm:f>
            <x14:dxf>
              <fill>
                <patternFill patternType="solid">
                  <fgColor indexed="64"/>
                  <bgColor rgb="FFD9A125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6" stopIfTrue="1" id="{751D6631-824B-AF42-9AE4-00259BFF5BBC}">
            <xm:f>AND(ISODD(ROW()),COUNTIFS(Treningslogg!$A:$A,D6,Treningslogg!$B:$B,"Svømming")&gt;0,(COUNTIFS(Treningslogg!$A:$A,D6,Treningslogg!$B:$B,"Styrketrening")+COUNTIFS(Treningslogg!$A:$A,D6,Treningslogg!$B:$B,"Løping")+COUNTIFS(Treningslogg!$A:$A,D6,Treningslogg!$B:$B,"Sykling"))&gt;0)</xm:f>
            <x14:dxf>
              <fill>
                <patternFill patternType="solid">
                  <fgColor indexed="64"/>
                  <bgColor rgb="FF6E8B5A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8" stopIfTrue="1" id="{6817E0D9-AA28-5147-835C-035AD55FA01A}">
            <xm:f>AND(ISODD(ROW()),COUNTIFS(Treningslogg!$A:$A,D6,Treningslogg!$B:$B,"Karate")&gt;0,(COUNTIFS(Treningslogg!$A:$A,D6,Treningslogg!$B:$B,"Styrketrening")+COUNTIFS(Treningslogg!$A:$A,D6,Treningslogg!$B:$B,"Løping")+COUNTIFS(Treningslogg!$A:$A,D6,Treningslogg!$B:$B,"Sykling")+COUNTIFS(Treningslogg!$A:$A,D6,Treningslogg!$B:$B,"Svømming"))&gt;0)</xm:f>
            <x14:dxf>
              <fill>
                <patternFill patternType="solid">
                  <fgColor indexed="64"/>
                  <bgColor rgb="FF7D3C58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10" stopIfTrue="1" id="{0E767930-7A62-BA46-9FC1-1D982037EF55}">
            <xm:f>AND(ISODD(ROW()),COUNTIFS(Treningslogg!$A:$A,D6,Treningslogg!$B:$B,"Klatring")&gt;0,(COUNTIFS(Treningslogg!$A:$A,D6,Treningslogg!$B:$B,"Styrketrening")+COUNTIFS(Treningslogg!$A:$A,D6,Treningslogg!$B:$B,"Løping")+COUNTIFS(Treningslogg!$A:$A,D6,Treningslogg!$B:$B,"Sykling")+COUNTIFS(Treningslogg!$A:$A,D6,Treningslogg!$B:$B,"Svømming")+COUNTIFS(Treningslogg!$A:$A,D6,Treningslogg!$B:$B,"Karate"))&gt;0)</xm:f>
            <x14:dxf>
              <fill>
                <patternFill patternType="solid">
                  <fgColor indexed="64"/>
                  <bgColor rgb="FF4E6E75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12" stopIfTrue="1" id="{341BD3CD-8E28-804B-8647-5AD3579A078D}">
            <xm:f>AND(ISODD(ROW()),COUNTIFS(Treningslogg!$A:$A,D6,Treningslogg!$B:$B,"Annet")&gt;0,(COUNTIFS(Treningslogg!$A:$A,D6,Treningslogg!$B:$B,"Styrketrening")+COUNTIFS(Treningslogg!$A:$A,D6,Treningslogg!$B:$B,"Løping")+COUNTIFS(Treningslogg!$A:$A,D6,Treningslogg!$B:$B,"Sykling")+COUNTIFS(Treningslogg!$A:$A,D6,Treningslogg!$B:$B,"Svømming")+COUNTIFS(Treningslogg!$A:$A,D6,Treningslogg!$B:$B,"Karate")+COUNTIFS(Treningslogg!$A:$A,D6,Treningslogg!$B:$B,"Klatring"))&gt;0)</xm:f>
            <x14:dxf>
              <fill>
                <patternFill patternType="solid">
                  <fgColor indexed="64"/>
                  <bgColor rgb="FF9A8878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14" stopIfTrue="1" id="{80194E4B-9ED2-5B4E-BAA8-BFAF05F98D29}">
            <xm:f>AND(ISEVEN(ROW()),COUNTIFS(Treningslogg!$A:$A,D6,Treningslogg!$B:$B,"Styrketrening")&gt;0)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A0392B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16" stopIfTrue="1" id="{9B412FA1-3E48-024D-A356-8ED13D6E334B}">
            <xm:f>AND(ISEVEN(ROW()),COUNTIFS(Treningslogg!$A:$A,D6,Treningslogg!$B:$B,"Løping")&gt;0)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C4671E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18" stopIfTrue="1" id="{D89685E2-E83C-9C4D-B1B6-3065634CFE6C}">
            <xm:f>AND(ISEVEN(ROW()),COUNTIFS(Treningslogg!$A:$A,D6,Treningslogg!$B:$B,"Sykling")&gt;0)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D9A125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20" stopIfTrue="1" id="{20F0EFAC-BB0F-0241-BBE4-49289721C602}">
            <xm:f>AND(ISEVEN(ROW()),COUNTIFS(Treningslogg!$A:$A,D6,Treningslogg!$B:$B,"Svømming")&gt;0)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6E8B5A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22" stopIfTrue="1" id="{89389376-82DA-1A48-A7B5-34E4A21C97AB}">
            <xm:f>AND(ISEVEN(ROW()),COUNTIFS(Treningslogg!$A:$A,D6,Treningslogg!$B:$B,"Karate")&gt;0)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7D3C58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24" stopIfTrue="1" id="{8BEA8314-D5F2-A74B-99AA-A508CEF52D34}">
            <xm:f>AND(ISEVEN(ROW()),COUNTIFS(Treningslogg!$A:$A,D6,Treningslogg!$B:$B,"Klatring")&gt;0)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4E6E75"/>
                </patternFill>
              </fill>
            </x14:dxf>
          </x14:cfRule>
          <xm:sqref>D6:J47</xm:sqref>
        </x14:conditionalFormatting>
        <x14:conditionalFormatting xmlns:xm="http://schemas.microsoft.com/office/excel/2006/main">
          <x14:cfRule type="expression" priority="26" stopIfTrue="1" id="{CFA9346B-6182-234E-9700-9185B19000C1}">
            <xm:f>AND(ISEVEN(ROW()),COUNTIFS(Treningslogg!$A:$A,D6,Treningslogg!$B:$B,"Annet")&gt;0)</xm:f>
            <x14:dxf>
              <font>
                <b/>
                <i val="0"/>
                <color rgb="FFFFFFFF"/>
              </font>
              <fill>
                <patternFill patternType="solid">
                  <fgColor indexed="64"/>
                  <bgColor rgb="FF9A8878"/>
                </patternFill>
              </fill>
            </x14:dxf>
          </x14:cfRule>
          <xm:sqref>D6:J47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8676-A048-FE4F-9D4A-92C00E6054B9}">
  <sheetPr>
    <tabColor rgb="FFC4671E"/>
  </sheetPr>
  <dimension ref="A1:AB60"/>
  <sheetViews>
    <sheetView showGridLines="0" zoomScaleNormal="100" zoomScaleSheetLayoutView="10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Y14" sqref="Y14"/>
    </sheetView>
  </sheetViews>
  <sheetFormatPr baseColWidth="10" defaultColWidth="8.83203125" defaultRowHeight="16" x14ac:dyDescent="0.2"/>
  <cols>
    <col min="1" max="1" width="1.6640625" style="1" customWidth="1"/>
    <col min="2" max="2" width="15.33203125" style="1" customWidth="1"/>
    <col min="3" max="3" width="6" style="1" customWidth="1"/>
    <col min="4" max="4" width="7.33203125" style="1" customWidth="1"/>
    <col min="5" max="5" width="8.6640625" style="1" customWidth="1"/>
    <col min="6" max="6" width="7.33203125" style="1" customWidth="1"/>
    <col min="7" max="7" width="8.6640625" style="1" customWidth="1"/>
    <col min="8" max="8" width="7.33203125" style="1" customWidth="1"/>
    <col min="9" max="9" width="8.6640625" style="1" customWidth="1"/>
    <col min="10" max="10" width="7.33203125" style="1" customWidth="1"/>
    <col min="11" max="11" width="8.6640625" style="1" customWidth="1"/>
    <col min="12" max="12" width="7.33203125" style="1" customWidth="1"/>
    <col min="13" max="13" width="8.6640625" style="1" customWidth="1"/>
    <col min="14" max="14" width="7.33203125" style="1" customWidth="1"/>
    <col min="15" max="15" width="8.6640625" style="1" customWidth="1"/>
    <col min="16" max="16" width="7.33203125" style="1" customWidth="1"/>
    <col min="17" max="17" width="8.6640625" style="1" customWidth="1"/>
    <col min="18" max="20" width="10.33203125" style="1" customWidth="1"/>
    <col min="21" max="21" width="10" style="1" customWidth="1"/>
    <col min="22" max="22" width="10.33203125" style="1" customWidth="1"/>
    <col min="23" max="23" width="11.6640625" style="1" customWidth="1"/>
    <col min="24" max="24" width="9.33203125" style="1" customWidth="1"/>
    <col min="25" max="25" width="12.33203125" style="1" customWidth="1"/>
    <col min="26" max="16384" width="8.83203125" style="1"/>
  </cols>
  <sheetData>
    <row r="1" spans="1:26" ht="24" customHeight="1" x14ac:dyDescent="0.25">
      <c r="A1"/>
      <c r="B1" s="272" t="s">
        <v>67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ht="17" thickBot="1" x14ac:dyDescent="0.25">
      <c r="A2"/>
      <c r="B2" s="273" t="s">
        <v>224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x14ac:dyDescent="0.2">
      <c r="A3"/>
      <c r="B3" s="215" t="s">
        <v>68</v>
      </c>
      <c r="C3" s="216"/>
      <c r="D3" s="216"/>
      <c r="E3" s="216"/>
      <c r="F3" s="217"/>
      <c r="G3"/>
      <c r="H3"/>
      <c r="I3"/>
      <c r="J3"/>
      <c r="K3"/>
      <c r="L3"/>
      <c r="M3"/>
      <c r="N3"/>
      <c r="O3"/>
      <c r="P3"/>
      <c r="Q3"/>
      <c r="R3" s="215" t="s">
        <v>73</v>
      </c>
      <c r="S3" s="216"/>
      <c r="T3" s="216"/>
      <c r="U3" s="217"/>
      <c r="V3"/>
      <c r="W3"/>
      <c r="X3"/>
      <c r="Y3"/>
      <c r="Z3"/>
    </row>
    <row r="4" spans="1:26" ht="15" customHeight="1" x14ac:dyDescent="0.2">
      <c r="A4"/>
      <c r="B4" s="59" t="s">
        <v>69</v>
      </c>
      <c r="C4" s="57"/>
      <c r="D4" s="57"/>
      <c r="E4" s="218">
        <v>46230</v>
      </c>
      <c r="F4" s="219"/>
      <c r="G4"/>
      <c r="H4"/>
      <c r="I4"/>
      <c r="J4"/>
      <c r="K4"/>
      <c r="L4"/>
      <c r="M4"/>
      <c r="N4"/>
      <c r="O4"/>
      <c r="P4"/>
      <c r="Q4"/>
      <c r="R4" s="59" t="s">
        <v>74</v>
      </c>
      <c r="S4" s="57"/>
      <c r="T4" s="57"/>
      <c r="U4" s="61">
        <f>SUM($R$14:$R$34)</f>
        <v>2100</v>
      </c>
      <c r="V4"/>
      <c r="W4"/>
      <c r="X4"/>
      <c r="Y4"/>
      <c r="Z4"/>
    </row>
    <row r="5" spans="1:26" ht="15" customHeight="1" x14ac:dyDescent="0.2">
      <c r="A5"/>
      <c r="B5" s="59" t="s">
        <v>70</v>
      </c>
      <c r="C5" s="57"/>
      <c r="D5" s="57"/>
      <c r="E5" s="220">
        <v>77.45</v>
      </c>
      <c r="F5" s="221"/>
      <c r="G5"/>
      <c r="H5"/>
      <c r="I5"/>
      <c r="J5"/>
      <c r="K5"/>
      <c r="L5"/>
      <c r="M5"/>
      <c r="N5"/>
      <c r="O5"/>
      <c r="P5"/>
      <c r="Q5"/>
      <c r="R5" s="59" t="s">
        <v>75</v>
      </c>
      <c r="S5" s="57"/>
      <c r="T5" s="57"/>
      <c r="U5" s="62">
        <f>IFERROR(U4/SUM($S$14:$S$34),"")</f>
        <v>1.05</v>
      </c>
      <c r="V5"/>
      <c r="W5"/>
      <c r="X5"/>
      <c r="Y5"/>
      <c r="Z5"/>
    </row>
    <row r="6" spans="1:26" ht="15" customHeight="1" x14ac:dyDescent="0.2">
      <c r="A6"/>
      <c r="B6" s="59" t="s">
        <v>71</v>
      </c>
      <c r="C6" s="57"/>
      <c r="D6" s="57"/>
      <c r="E6" s="220">
        <v>90</v>
      </c>
      <c r="F6" s="221"/>
      <c r="G6"/>
      <c r="H6"/>
      <c r="I6"/>
      <c r="J6"/>
      <c r="K6"/>
      <c r="L6"/>
      <c r="M6"/>
      <c r="N6"/>
      <c r="O6"/>
      <c r="P6"/>
      <c r="Q6"/>
      <c r="R6" s="59" t="s">
        <v>76</v>
      </c>
      <c r="S6" s="57"/>
      <c r="T6" s="57"/>
      <c r="U6" s="63">
        <f>SUM($U$14:$U$34)</f>
        <v>0.28000000000000003</v>
      </c>
      <c r="V6"/>
      <c r="W6"/>
      <c r="X6"/>
      <c r="Y6"/>
      <c r="Z6"/>
    </row>
    <row r="7" spans="1:26" ht="15" customHeight="1" thickBot="1" x14ac:dyDescent="0.25">
      <c r="A7"/>
      <c r="B7" s="60" t="s">
        <v>72</v>
      </c>
      <c r="C7" s="58"/>
      <c r="D7" s="58"/>
      <c r="E7" s="222">
        <v>7500</v>
      </c>
      <c r="F7" s="223"/>
      <c r="G7"/>
      <c r="H7"/>
      <c r="I7"/>
      <c r="J7"/>
      <c r="K7"/>
      <c r="L7"/>
      <c r="M7"/>
      <c r="N7"/>
      <c r="O7"/>
      <c r="P7"/>
      <c r="Q7"/>
      <c r="R7" s="59" t="s">
        <v>77</v>
      </c>
      <c r="S7" s="57"/>
      <c r="T7" s="57"/>
      <c r="U7" s="63" cm="1">
        <f t="array" ref="U7">IFERROR($E$5-LOOKUP(2,1/($W$14:$W$34&lt;&gt;""),$W$14:$W$34),"")</f>
        <v>-4.9999999999997158E-2</v>
      </c>
      <c r="V7"/>
      <c r="W7"/>
      <c r="X7"/>
      <c r="Y7"/>
      <c r="Z7"/>
    </row>
    <row r="8" spans="1:26" ht="1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 s="59" t="s">
        <v>78</v>
      </c>
      <c r="S8" s="57"/>
      <c r="T8" s="57"/>
      <c r="U8" s="64" cm="1">
        <f t="array" ref="U8">IFERROR($E$6-LOOKUP(2,1/($Y$14:$Y$34&lt;&gt;""),$Y$14:$Y$34),"")</f>
        <v>1.25</v>
      </c>
      <c r="V8"/>
      <c r="W8"/>
      <c r="X8"/>
      <c r="Y8"/>
      <c r="Z8"/>
    </row>
    <row r="9" spans="1:26" ht="1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s="59" t="s">
        <v>79</v>
      </c>
      <c r="S9" s="57"/>
      <c r="T9" s="57"/>
      <c r="U9" s="63">
        <f>7*SUM($T$14:$T$34)/$E$7</f>
        <v>15.866666666666667</v>
      </c>
      <c r="V9"/>
      <c r="W9"/>
      <c r="X9"/>
      <c r="Y9"/>
      <c r="Z9"/>
    </row>
    <row r="10" spans="1:26" ht="15" customHeight="1" thickBo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s="60" t="s">
        <v>80</v>
      </c>
      <c r="S10" s="58"/>
      <c r="T10" s="58"/>
      <c r="U10" s="65">
        <f>IFERROR(U5*U9,"")</f>
        <v>16.66</v>
      </c>
      <c r="V10"/>
      <c r="W10"/>
      <c r="X10"/>
      <c r="Y10"/>
      <c r="Z10"/>
    </row>
    <row r="11" spans="1:26" ht="15" customHeight="1" thickBo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18" customHeight="1" x14ac:dyDescent="0.2">
      <c r="A12"/>
      <c r="B12" s="224" t="s">
        <v>81</v>
      </c>
      <c r="C12" s="225"/>
      <c r="D12" s="226" t="s">
        <v>30</v>
      </c>
      <c r="E12" s="227"/>
      <c r="F12" s="227" t="s">
        <v>31</v>
      </c>
      <c r="G12" s="227"/>
      <c r="H12" s="227" t="s">
        <v>32</v>
      </c>
      <c r="I12" s="227"/>
      <c r="J12" s="227" t="s">
        <v>33</v>
      </c>
      <c r="K12" s="227"/>
      <c r="L12" s="227" t="s">
        <v>34</v>
      </c>
      <c r="M12" s="227"/>
      <c r="N12" s="227" t="s">
        <v>35</v>
      </c>
      <c r="O12" s="227"/>
      <c r="P12" s="228" t="s">
        <v>36</v>
      </c>
      <c r="Q12" s="225"/>
      <c r="R12" s="226" t="s">
        <v>82</v>
      </c>
      <c r="S12" s="228"/>
      <c r="T12" s="225"/>
      <c r="U12" s="226" t="s">
        <v>83</v>
      </c>
      <c r="V12" s="227"/>
      <c r="W12" s="228"/>
      <c r="X12" s="225"/>
      <c r="Y12" s="229" t="s">
        <v>84</v>
      </c>
      <c r="Z12"/>
    </row>
    <row r="13" spans="1:26" ht="18" customHeight="1" x14ac:dyDescent="0.2">
      <c r="A13"/>
      <c r="B13" s="275" t="s">
        <v>85</v>
      </c>
      <c r="C13" s="276" t="s">
        <v>86</v>
      </c>
      <c r="D13" s="277" t="s">
        <v>87</v>
      </c>
      <c r="E13" s="278" t="s">
        <v>46</v>
      </c>
      <c r="F13" s="278" t="s">
        <v>87</v>
      </c>
      <c r="G13" s="278" t="s">
        <v>46</v>
      </c>
      <c r="H13" s="278" t="s">
        <v>87</v>
      </c>
      <c r="I13" s="278" t="s">
        <v>46</v>
      </c>
      <c r="J13" s="278" t="s">
        <v>87</v>
      </c>
      <c r="K13" s="278" t="s">
        <v>46</v>
      </c>
      <c r="L13" s="278" t="s">
        <v>87</v>
      </c>
      <c r="M13" s="278" t="s">
        <v>46</v>
      </c>
      <c r="N13" s="278" t="s">
        <v>87</v>
      </c>
      <c r="O13" s="278" t="s">
        <v>46</v>
      </c>
      <c r="P13" s="279" t="s">
        <v>87</v>
      </c>
      <c r="Q13" s="276" t="s">
        <v>46</v>
      </c>
      <c r="R13" s="277" t="s">
        <v>88</v>
      </c>
      <c r="S13" s="279" t="s">
        <v>89</v>
      </c>
      <c r="T13" s="276" t="s">
        <v>90</v>
      </c>
      <c r="U13" s="277" t="s">
        <v>91</v>
      </c>
      <c r="V13" s="278" t="s">
        <v>92</v>
      </c>
      <c r="W13" s="279" t="s">
        <v>65</v>
      </c>
      <c r="X13" s="276" t="s">
        <v>93</v>
      </c>
      <c r="Y13" s="280" t="s">
        <v>66</v>
      </c>
      <c r="Z13"/>
    </row>
    <row r="14" spans="1:26" ht="15" customHeight="1" x14ac:dyDescent="0.2">
      <c r="A14"/>
      <c r="B14" s="68" t="s">
        <v>57</v>
      </c>
      <c r="C14" s="70">
        <v>31</v>
      </c>
      <c r="D14" s="230">
        <f>$E$4</f>
        <v>46230</v>
      </c>
      <c r="E14" s="108" t="str">
        <f>IF(COUNTIFS(Dagslogg[Dato],D14,Dagslogg[Minus],"&lt;&gt;")=0,"",SUMIFS(Dagslogg[Minus],Dagslogg[Dato],D14))</f>
        <v/>
      </c>
      <c r="F14" s="231">
        <f>D14+1</f>
        <v>46231</v>
      </c>
      <c r="G14" s="108">
        <f>IF(COUNTIFS(Dagslogg[Dato],F14,Dagslogg[Minus],"&lt;&gt;")=0,"",SUMIFS(Dagslogg[Minus],Dagslogg[Dato],F14))</f>
        <v>1000</v>
      </c>
      <c r="H14" s="231">
        <f>F14+1</f>
        <v>46232</v>
      </c>
      <c r="I14" s="108">
        <f>IF(COUNTIFS(Dagslogg[Dato],H14,Dagslogg[Minus],"&lt;&gt;")=0,"",SUMIFS(Dagslogg[Minus],Dagslogg[Dato],H14))</f>
        <v>1100</v>
      </c>
      <c r="J14" s="231">
        <f>H14+1</f>
        <v>46233</v>
      </c>
      <c r="K14" s="108" t="str">
        <f>IF(COUNTIFS(Dagslogg[Dato],J14,Dagslogg[Minus],"&lt;&gt;")=0,"",SUMIFS(Dagslogg[Minus],Dagslogg[Dato],J14))</f>
        <v/>
      </c>
      <c r="L14" s="231">
        <f>J14+1</f>
        <v>46234</v>
      </c>
      <c r="M14" s="108" t="str">
        <f>IF(COUNTIFS(Dagslogg[Dato],L14,Dagslogg[Minus],"&lt;&gt;")=0,"",SUMIFS(Dagslogg[Minus],Dagslogg[Dato],L14))</f>
        <v/>
      </c>
      <c r="N14" s="231">
        <f>L14+1</f>
        <v>46235</v>
      </c>
      <c r="O14" s="108" t="str">
        <f>IF(COUNTIFS(Dagslogg[Dato],N14,Dagslogg[Minus],"&lt;&gt;")=0,"",SUMIFS(Dagslogg[Minus],Dagslogg[Dato],N14))</f>
        <v/>
      </c>
      <c r="P14" s="232">
        <f>N14+1</f>
        <v>46236</v>
      </c>
      <c r="Q14" s="111" t="str">
        <f>IF(COUNTIFS(Dagslogg[Dato],P14,Dagslogg[Minus],"&lt;&gt;")=0,"",SUMIFS(Dagslogg[Minus],Dagslogg[Dato],P14))</f>
        <v/>
      </c>
      <c r="R14" s="72">
        <f>IF(COUNT(E14,G14,I14,K14,M14,O14,Q14)=0,"",SUM(E14,G14,I14,K14,M14,O14,Q14))</f>
        <v>2100</v>
      </c>
      <c r="S14" s="76">
        <f>IF(R14="","",T14*COUNT(E14,G14,I14,K14,M14,O14,Q14))</f>
        <v>2000</v>
      </c>
      <c r="T14" s="74">
        <v>1000</v>
      </c>
      <c r="U14" s="78">
        <f>IF(R14="","",R14/$E$7)</f>
        <v>0.28000000000000003</v>
      </c>
      <c r="V14" s="66">
        <f>IF(R14="","",$E$5-SUM($U$14:U14))</f>
        <v>77.17</v>
      </c>
      <c r="W14" s="114">
        <f>IFERROR(AVERAGEIFS(Dagslogg[Vekt],Dagslogg[Dato],"&gt;="&amp;D14,Dagslogg[Dato],"&lt;="&amp;D14+6),"")</f>
        <v>77.5</v>
      </c>
      <c r="X14" s="80">
        <f>IF(OR(W14="",V14=""),"",W14-V14)</f>
        <v>0.32999999999999829</v>
      </c>
      <c r="Y14" s="117">
        <f>IFERROR(AVERAGEIFS(Dagslogg[Vidde],Dagslogg[Dato],"&gt;="&amp;D14,Dagslogg[Dato],"&lt;="&amp;D14+6),"")</f>
        <v>88.75</v>
      </c>
      <c r="Z14"/>
    </row>
    <row r="15" spans="1:26" ht="15" customHeight="1" x14ac:dyDescent="0.2">
      <c r="A15"/>
      <c r="B15" s="69" t="s">
        <v>37</v>
      </c>
      <c r="C15" s="71">
        <f>C14+1</f>
        <v>32</v>
      </c>
      <c r="D15" s="233">
        <f>D14+7</f>
        <v>46237</v>
      </c>
      <c r="E15" s="109" t="str">
        <f>IF(COUNTIFS(Dagslogg[Dato],D15,Dagslogg[Minus],"&lt;&gt;")=0,"",SUMIFS(Dagslogg[Minus],Dagslogg[Dato],D15))</f>
        <v/>
      </c>
      <c r="F15" s="234">
        <f>D15+1</f>
        <v>46238</v>
      </c>
      <c r="G15" s="109" t="str">
        <f>IF(COUNTIFS(Dagslogg[Dato],F15,Dagslogg[Minus],"&lt;&gt;")=0,"",SUMIFS(Dagslogg[Minus],Dagslogg[Dato],F15))</f>
        <v/>
      </c>
      <c r="H15" s="234">
        <f>F15+1</f>
        <v>46239</v>
      </c>
      <c r="I15" s="109" t="str">
        <f>IF(COUNTIFS(Dagslogg[Dato],H15,Dagslogg[Minus],"&lt;&gt;")=0,"",SUMIFS(Dagslogg[Minus],Dagslogg[Dato],H15))</f>
        <v/>
      </c>
      <c r="J15" s="234">
        <f>H15+1</f>
        <v>46240</v>
      </c>
      <c r="K15" s="109" t="str">
        <f>IF(COUNTIFS(Dagslogg[Dato],J15,Dagslogg[Minus],"&lt;&gt;")=0,"",SUMIFS(Dagslogg[Minus],Dagslogg[Dato],J15))</f>
        <v/>
      </c>
      <c r="L15" s="234">
        <f>J15+1</f>
        <v>46241</v>
      </c>
      <c r="M15" s="109" t="str">
        <f>IF(COUNTIFS(Dagslogg[Dato],L15,Dagslogg[Minus],"&lt;&gt;")=0,"",SUMIFS(Dagslogg[Minus],Dagslogg[Dato],L15))</f>
        <v/>
      </c>
      <c r="N15" s="234">
        <f>L15+1</f>
        <v>46242</v>
      </c>
      <c r="O15" s="109" t="str">
        <f>IF(COUNTIFS(Dagslogg[Dato],N15,Dagslogg[Minus],"&lt;&gt;")=0,"",SUMIFS(Dagslogg[Minus],Dagslogg[Dato],N15))</f>
        <v/>
      </c>
      <c r="P15" s="235">
        <f>N15+1</f>
        <v>46243</v>
      </c>
      <c r="Q15" s="112" t="str">
        <f>IF(COUNTIFS(Dagslogg[Dato],P15,Dagslogg[Minus],"&lt;&gt;")=0,"",SUMIFS(Dagslogg[Minus],Dagslogg[Dato],P15))</f>
        <v/>
      </c>
      <c r="R15" s="73" t="str">
        <f>IF(COUNT(E15,G15,I15,K15,M15,O15,Q15)=0,"",SUM(E15,G15,I15,K15,M15,O15,Q15))</f>
        <v/>
      </c>
      <c r="S15" s="77" t="str">
        <f>IF(R15="","",T15*COUNT(E15,G15,I15,K15,M15,O15,Q15))</f>
        <v/>
      </c>
      <c r="T15" s="75">
        <v>1000</v>
      </c>
      <c r="U15" s="79" t="str">
        <f>IF(R15="","",R15/$E$7)</f>
        <v/>
      </c>
      <c r="V15" s="67" t="str">
        <f>IF(R15="","",$E$5-SUM($U$14:U15))</f>
        <v/>
      </c>
      <c r="W15" s="115" t="str">
        <f>IFERROR(AVERAGEIFS(Dagslogg[Vekt],Dagslogg[Dato],"&gt;="&amp;D15,Dagslogg[Dato],"&lt;="&amp;D15+6),"")</f>
        <v/>
      </c>
      <c r="X15" s="81" t="str">
        <f>IF(OR(W15="",V15=""),"",W15-V15)</f>
        <v/>
      </c>
      <c r="Y15" s="118" t="str">
        <f>IFERROR(AVERAGEIFS(Dagslogg[Vidde],Dagslogg[Dato],"&gt;="&amp;D15,Dagslogg[Dato],"&lt;="&amp;D15+6),"")</f>
        <v/>
      </c>
      <c r="Z15"/>
    </row>
    <row r="16" spans="1:26" ht="15" customHeight="1" x14ac:dyDescent="0.2">
      <c r="A16"/>
      <c r="B16" s="69"/>
      <c r="C16" s="71">
        <f t="shared" ref="C16:C34" si="0">C15+1</f>
        <v>33</v>
      </c>
      <c r="D16" s="233">
        <f t="shared" ref="D16:D34" si="1">D15+7</f>
        <v>46244</v>
      </c>
      <c r="E16" s="109" t="str">
        <f>IF(COUNTIFS(Dagslogg[Dato],D16,Dagslogg[Minus],"&lt;&gt;")=0,"",SUMIFS(Dagslogg[Minus],Dagslogg[Dato],D16))</f>
        <v/>
      </c>
      <c r="F16" s="234">
        <f t="shared" ref="F16:F34" si="2">D16+1</f>
        <v>46245</v>
      </c>
      <c r="G16" s="109" t="str">
        <f>IF(COUNTIFS(Dagslogg[Dato],F16,Dagslogg[Minus],"&lt;&gt;")=0,"",SUMIFS(Dagslogg[Minus],Dagslogg[Dato],F16))</f>
        <v/>
      </c>
      <c r="H16" s="234">
        <f t="shared" ref="H16:H34" si="3">F16+1</f>
        <v>46246</v>
      </c>
      <c r="I16" s="109" t="str">
        <f>IF(COUNTIFS(Dagslogg[Dato],H16,Dagslogg[Minus],"&lt;&gt;")=0,"",SUMIFS(Dagslogg[Minus],Dagslogg[Dato],H16))</f>
        <v/>
      </c>
      <c r="J16" s="234">
        <f t="shared" ref="J16:J34" si="4">H16+1</f>
        <v>46247</v>
      </c>
      <c r="K16" s="109" t="str">
        <f>IF(COUNTIFS(Dagslogg[Dato],J16,Dagslogg[Minus],"&lt;&gt;")=0,"",SUMIFS(Dagslogg[Minus],Dagslogg[Dato],J16))</f>
        <v/>
      </c>
      <c r="L16" s="234">
        <f t="shared" ref="L16:L34" si="5">J16+1</f>
        <v>46248</v>
      </c>
      <c r="M16" s="109" t="str">
        <f>IF(COUNTIFS(Dagslogg[Dato],L16,Dagslogg[Minus],"&lt;&gt;")=0,"",SUMIFS(Dagslogg[Minus],Dagslogg[Dato],L16))</f>
        <v/>
      </c>
      <c r="N16" s="234">
        <f t="shared" ref="N16:N34" si="6">L16+1</f>
        <v>46249</v>
      </c>
      <c r="O16" s="109" t="str">
        <f>IF(COUNTIFS(Dagslogg[Dato],N16,Dagslogg[Minus],"&lt;&gt;")=0,"",SUMIFS(Dagslogg[Minus],Dagslogg[Dato],N16))</f>
        <v/>
      </c>
      <c r="P16" s="235">
        <f t="shared" ref="P16:P34" si="7">N16+1</f>
        <v>46250</v>
      </c>
      <c r="Q16" s="112" t="str">
        <f>IF(COUNTIFS(Dagslogg[Dato],P16,Dagslogg[Minus],"&lt;&gt;")=0,"",SUMIFS(Dagslogg[Minus],Dagslogg[Dato],P16))</f>
        <v/>
      </c>
      <c r="R16" s="73" t="str">
        <f t="shared" ref="R16:R34" si="8">IF(COUNT(E16,G16,I16,K16,M16,O16,Q16)=0,"",SUM(E16,G16,I16,K16,M16,O16,Q16))</f>
        <v/>
      </c>
      <c r="S16" s="77" t="str">
        <f t="shared" ref="S16:S34" si="9">IF(R16="","",T16*COUNT(E16,G16,I16,K16,M16,O16,Q16))</f>
        <v/>
      </c>
      <c r="T16" s="75">
        <v>1000</v>
      </c>
      <c r="U16" s="79" t="str">
        <f t="shared" ref="U16:U35" si="10">IF(R16="","",R16/$E$7)</f>
        <v/>
      </c>
      <c r="V16" s="67" t="str">
        <f>IF(R16="","",$E$5-SUM($U$14:U16))</f>
        <v/>
      </c>
      <c r="W16" s="115" t="str">
        <f>IFERROR(AVERAGEIFS(Dagslogg[Vekt],Dagslogg[Dato],"&gt;="&amp;D16,Dagslogg[Dato],"&lt;="&amp;D16+6),"")</f>
        <v/>
      </c>
      <c r="X16" s="81" t="str">
        <f t="shared" ref="X16:X34" si="11">IF(OR(W16="",V16=""),"",W16-V16)</f>
        <v/>
      </c>
      <c r="Y16" s="118" t="str">
        <f>IFERROR(AVERAGEIFS(Dagslogg[Vidde],Dagslogg[Dato],"&gt;="&amp;D16,Dagslogg[Dato],"&lt;="&amp;D16+6),"")</f>
        <v/>
      </c>
      <c r="Z16"/>
    </row>
    <row r="17" spans="1:28" ht="15" customHeight="1" x14ac:dyDescent="0.2">
      <c r="A17"/>
      <c r="B17" s="69"/>
      <c r="C17" s="71">
        <f t="shared" si="0"/>
        <v>34</v>
      </c>
      <c r="D17" s="233">
        <f t="shared" si="1"/>
        <v>46251</v>
      </c>
      <c r="E17" s="109" t="str">
        <f>IF(COUNTIFS(Dagslogg[Dato],D17,Dagslogg[Minus],"&lt;&gt;")=0,"",SUMIFS(Dagslogg[Minus],Dagslogg[Dato],D17))</f>
        <v/>
      </c>
      <c r="F17" s="234">
        <f t="shared" si="2"/>
        <v>46252</v>
      </c>
      <c r="G17" s="109" t="str">
        <f>IF(COUNTIFS(Dagslogg[Dato],F17,Dagslogg[Minus],"&lt;&gt;")=0,"",SUMIFS(Dagslogg[Minus],Dagslogg[Dato],F17))</f>
        <v/>
      </c>
      <c r="H17" s="234">
        <f t="shared" si="3"/>
        <v>46253</v>
      </c>
      <c r="I17" s="109" t="str">
        <f>IF(COUNTIFS(Dagslogg[Dato],H17,Dagslogg[Minus],"&lt;&gt;")=0,"",SUMIFS(Dagslogg[Minus],Dagslogg[Dato],H17))</f>
        <v/>
      </c>
      <c r="J17" s="234">
        <f t="shared" si="4"/>
        <v>46254</v>
      </c>
      <c r="K17" s="109" t="str">
        <f>IF(COUNTIFS(Dagslogg[Dato],J17,Dagslogg[Minus],"&lt;&gt;")=0,"",SUMIFS(Dagslogg[Minus],Dagslogg[Dato],J17))</f>
        <v/>
      </c>
      <c r="L17" s="234">
        <f t="shared" si="5"/>
        <v>46255</v>
      </c>
      <c r="M17" s="109" t="str">
        <f>IF(COUNTIFS(Dagslogg[Dato],L17,Dagslogg[Minus],"&lt;&gt;")=0,"",SUMIFS(Dagslogg[Minus],Dagslogg[Dato],L17))</f>
        <v/>
      </c>
      <c r="N17" s="234">
        <f t="shared" si="6"/>
        <v>46256</v>
      </c>
      <c r="O17" s="109" t="str">
        <f>IF(COUNTIFS(Dagslogg[Dato],N17,Dagslogg[Minus],"&lt;&gt;")=0,"",SUMIFS(Dagslogg[Minus],Dagslogg[Dato],N17))</f>
        <v/>
      </c>
      <c r="P17" s="235">
        <f t="shared" si="7"/>
        <v>46257</v>
      </c>
      <c r="Q17" s="112" t="str">
        <f>IF(COUNTIFS(Dagslogg[Dato],P17,Dagslogg[Minus],"&lt;&gt;")=0,"",SUMIFS(Dagslogg[Minus],Dagslogg[Dato],P17))</f>
        <v/>
      </c>
      <c r="R17" s="73" t="str">
        <f t="shared" si="8"/>
        <v/>
      </c>
      <c r="S17" s="77" t="str">
        <f t="shared" si="9"/>
        <v/>
      </c>
      <c r="T17" s="75">
        <v>1000</v>
      </c>
      <c r="U17" s="79" t="str">
        <f t="shared" si="10"/>
        <v/>
      </c>
      <c r="V17" s="67" t="str">
        <f>IF(R17="","",$E$5-SUM($U$14:U17))</f>
        <v/>
      </c>
      <c r="W17" s="115" t="str">
        <f>IFERROR(AVERAGEIFS(Dagslogg[Vekt],Dagslogg[Dato],"&gt;="&amp;D17,Dagslogg[Dato],"&lt;="&amp;D17+6),"")</f>
        <v/>
      </c>
      <c r="X17" s="81" t="str">
        <f t="shared" si="11"/>
        <v/>
      </c>
      <c r="Y17" s="118" t="str">
        <f>IFERROR(AVERAGEIFS(Dagslogg[Vidde],Dagslogg[Dato],"&gt;="&amp;D17,Dagslogg[Dato],"&lt;="&amp;D17+6),"")</f>
        <v/>
      </c>
      <c r="Z17"/>
    </row>
    <row r="18" spans="1:28" ht="15" customHeight="1" x14ac:dyDescent="0.2">
      <c r="A18"/>
      <c r="B18" s="69"/>
      <c r="C18" s="71">
        <f t="shared" si="0"/>
        <v>35</v>
      </c>
      <c r="D18" s="233">
        <f t="shared" si="1"/>
        <v>46258</v>
      </c>
      <c r="E18" s="109" t="str">
        <f>IF(COUNTIFS(Dagslogg[Dato],D18,Dagslogg[Minus],"&lt;&gt;")=0,"",SUMIFS(Dagslogg[Minus],Dagslogg[Dato],D18))</f>
        <v/>
      </c>
      <c r="F18" s="234">
        <f t="shared" si="2"/>
        <v>46259</v>
      </c>
      <c r="G18" s="109" t="str">
        <f>IF(COUNTIFS(Dagslogg[Dato],F18,Dagslogg[Minus],"&lt;&gt;")=0,"",SUMIFS(Dagslogg[Minus],Dagslogg[Dato],F18))</f>
        <v/>
      </c>
      <c r="H18" s="234">
        <f t="shared" si="3"/>
        <v>46260</v>
      </c>
      <c r="I18" s="109" t="str">
        <f>IF(COUNTIFS(Dagslogg[Dato],H18,Dagslogg[Minus],"&lt;&gt;")=0,"",SUMIFS(Dagslogg[Minus],Dagslogg[Dato],H18))</f>
        <v/>
      </c>
      <c r="J18" s="234">
        <f t="shared" si="4"/>
        <v>46261</v>
      </c>
      <c r="K18" s="109" t="str">
        <f>IF(COUNTIFS(Dagslogg[Dato],J18,Dagslogg[Minus],"&lt;&gt;")=0,"",SUMIFS(Dagslogg[Minus],Dagslogg[Dato],J18))</f>
        <v/>
      </c>
      <c r="L18" s="234">
        <f t="shared" si="5"/>
        <v>46262</v>
      </c>
      <c r="M18" s="109" t="str">
        <f>IF(COUNTIFS(Dagslogg[Dato],L18,Dagslogg[Minus],"&lt;&gt;")=0,"",SUMIFS(Dagslogg[Minus],Dagslogg[Dato],L18))</f>
        <v/>
      </c>
      <c r="N18" s="234">
        <f t="shared" si="6"/>
        <v>46263</v>
      </c>
      <c r="O18" s="109" t="str">
        <f>IF(COUNTIFS(Dagslogg[Dato],N18,Dagslogg[Minus],"&lt;&gt;")=0,"",SUMIFS(Dagslogg[Minus],Dagslogg[Dato],N18))</f>
        <v/>
      </c>
      <c r="P18" s="235">
        <f t="shared" si="7"/>
        <v>46264</v>
      </c>
      <c r="Q18" s="112" t="str">
        <f>IF(COUNTIFS(Dagslogg[Dato],P18,Dagslogg[Minus],"&lt;&gt;")=0,"",SUMIFS(Dagslogg[Minus],Dagslogg[Dato],P18))</f>
        <v/>
      </c>
      <c r="R18" s="73" t="str">
        <f t="shared" si="8"/>
        <v/>
      </c>
      <c r="S18" s="77" t="str">
        <f t="shared" si="9"/>
        <v/>
      </c>
      <c r="T18" s="75">
        <v>1000</v>
      </c>
      <c r="U18" s="79" t="str">
        <f t="shared" si="10"/>
        <v/>
      </c>
      <c r="V18" s="67" t="str">
        <f>IF(R18="","",$E$5-SUM($U$14:U18))</f>
        <v/>
      </c>
      <c r="W18" s="115" t="str">
        <f>IFERROR(AVERAGEIFS(Dagslogg[Vekt],Dagslogg[Dato],"&gt;="&amp;D18,Dagslogg[Dato],"&lt;="&amp;D18+6),"")</f>
        <v/>
      </c>
      <c r="X18" s="81" t="str">
        <f t="shared" si="11"/>
        <v/>
      </c>
      <c r="Y18" s="118" t="str">
        <f>IFERROR(AVERAGEIFS(Dagslogg[Vidde],Dagslogg[Dato],"&gt;="&amp;D18,Dagslogg[Dato],"&lt;="&amp;D18+6),"")</f>
        <v/>
      </c>
      <c r="Z18"/>
    </row>
    <row r="19" spans="1:28" ht="15" customHeight="1" x14ac:dyDescent="0.2">
      <c r="A19"/>
      <c r="B19" s="68" t="s">
        <v>38</v>
      </c>
      <c r="C19" s="70">
        <f t="shared" si="0"/>
        <v>36</v>
      </c>
      <c r="D19" s="230">
        <f t="shared" si="1"/>
        <v>46265</v>
      </c>
      <c r="E19" s="108" t="str">
        <f>IF(COUNTIFS(Dagslogg[Dato],D19,Dagslogg[Minus],"&lt;&gt;")=0,"",SUMIFS(Dagslogg[Minus],Dagslogg[Dato],D19))</f>
        <v/>
      </c>
      <c r="F19" s="231">
        <f t="shared" si="2"/>
        <v>46266</v>
      </c>
      <c r="G19" s="108" t="str">
        <f>IF(COUNTIFS(Dagslogg[Dato],F19,Dagslogg[Minus],"&lt;&gt;")=0,"",SUMIFS(Dagslogg[Minus],Dagslogg[Dato],F19))</f>
        <v/>
      </c>
      <c r="H19" s="231">
        <f t="shared" si="3"/>
        <v>46267</v>
      </c>
      <c r="I19" s="108" t="str">
        <f>IF(COUNTIFS(Dagslogg[Dato],H19,Dagslogg[Minus],"&lt;&gt;")=0,"",SUMIFS(Dagslogg[Minus],Dagslogg[Dato],H19))</f>
        <v/>
      </c>
      <c r="J19" s="231">
        <f t="shared" si="4"/>
        <v>46268</v>
      </c>
      <c r="K19" s="108" t="str">
        <f>IF(COUNTIFS(Dagslogg[Dato],J19,Dagslogg[Minus],"&lt;&gt;")=0,"",SUMIFS(Dagslogg[Minus],Dagslogg[Dato],J19))</f>
        <v/>
      </c>
      <c r="L19" s="231">
        <f t="shared" si="5"/>
        <v>46269</v>
      </c>
      <c r="M19" s="108" t="str">
        <f>IF(COUNTIFS(Dagslogg[Dato],L19,Dagslogg[Minus],"&lt;&gt;")=0,"",SUMIFS(Dagslogg[Minus],Dagslogg[Dato],L19))</f>
        <v/>
      </c>
      <c r="N19" s="231">
        <f t="shared" si="6"/>
        <v>46270</v>
      </c>
      <c r="O19" s="108" t="str">
        <f>IF(COUNTIFS(Dagslogg[Dato],N19,Dagslogg[Minus],"&lt;&gt;")=0,"",SUMIFS(Dagslogg[Minus],Dagslogg[Dato],N19))</f>
        <v/>
      </c>
      <c r="P19" s="232">
        <f t="shared" si="7"/>
        <v>46271</v>
      </c>
      <c r="Q19" s="111" t="str">
        <f>IF(COUNTIFS(Dagslogg[Dato],P19,Dagslogg[Minus],"&lt;&gt;")=0,"",SUMIFS(Dagslogg[Minus],Dagslogg[Dato],P19))</f>
        <v/>
      </c>
      <c r="R19" s="72" t="str">
        <f t="shared" si="8"/>
        <v/>
      </c>
      <c r="S19" s="76" t="str">
        <f t="shared" si="9"/>
        <v/>
      </c>
      <c r="T19" s="74">
        <v>900</v>
      </c>
      <c r="U19" s="78" t="str">
        <f t="shared" si="10"/>
        <v/>
      </c>
      <c r="V19" s="66" t="str">
        <f>IF(R19="","",$E$5-SUM($U$14:U19))</f>
        <v/>
      </c>
      <c r="W19" s="114" t="str">
        <f>IFERROR(AVERAGEIFS(Dagslogg[Vekt],Dagslogg[Dato],"&gt;="&amp;D19,Dagslogg[Dato],"&lt;="&amp;D19+6),"")</f>
        <v/>
      </c>
      <c r="X19" s="80" t="str">
        <f t="shared" si="11"/>
        <v/>
      </c>
      <c r="Y19" s="117" t="str">
        <f>IFERROR(AVERAGEIFS(Dagslogg[Vidde],Dagslogg[Dato],"&gt;="&amp;D19,Dagslogg[Dato],"&lt;="&amp;D19+6),"")</f>
        <v/>
      </c>
      <c r="Z19"/>
    </row>
    <row r="20" spans="1:28" ht="15" customHeight="1" x14ac:dyDescent="0.2">
      <c r="A20"/>
      <c r="B20" s="68"/>
      <c r="C20" s="70">
        <f t="shared" si="0"/>
        <v>37</v>
      </c>
      <c r="D20" s="230">
        <f t="shared" si="1"/>
        <v>46272</v>
      </c>
      <c r="E20" s="108" t="str">
        <f>IF(COUNTIFS(Dagslogg[Dato],D20,Dagslogg[Minus],"&lt;&gt;")=0,"",SUMIFS(Dagslogg[Minus],Dagslogg[Dato],D20))</f>
        <v/>
      </c>
      <c r="F20" s="231">
        <f t="shared" si="2"/>
        <v>46273</v>
      </c>
      <c r="G20" s="108" t="str">
        <f>IF(COUNTIFS(Dagslogg[Dato],F20,Dagslogg[Minus],"&lt;&gt;")=0,"",SUMIFS(Dagslogg[Minus],Dagslogg[Dato],F20))</f>
        <v/>
      </c>
      <c r="H20" s="231">
        <f t="shared" si="3"/>
        <v>46274</v>
      </c>
      <c r="I20" s="108" t="str">
        <f>IF(COUNTIFS(Dagslogg[Dato],H20,Dagslogg[Minus],"&lt;&gt;")=0,"",SUMIFS(Dagslogg[Minus],Dagslogg[Dato],H20))</f>
        <v/>
      </c>
      <c r="J20" s="231">
        <f t="shared" si="4"/>
        <v>46275</v>
      </c>
      <c r="K20" s="108" t="str">
        <f>IF(COUNTIFS(Dagslogg[Dato],J20,Dagslogg[Minus],"&lt;&gt;")=0,"",SUMIFS(Dagslogg[Minus],Dagslogg[Dato],J20))</f>
        <v/>
      </c>
      <c r="L20" s="231">
        <f t="shared" si="5"/>
        <v>46276</v>
      </c>
      <c r="M20" s="108" t="str">
        <f>IF(COUNTIFS(Dagslogg[Dato],L20,Dagslogg[Minus],"&lt;&gt;")=0,"",SUMIFS(Dagslogg[Minus],Dagslogg[Dato],L20))</f>
        <v/>
      </c>
      <c r="N20" s="231">
        <f t="shared" si="6"/>
        <v>46277</v>
      </c>
      <c r="O20" s="108" t="str">
        <f>IF(COUNTIFS(Dagslogg[Dato],N20,Dagslogg[Minus],"&lt;&gt;")=0,"",SUMIFS(Dagslogg[Minus],Dagslogg[Dato],N20))</f>
        <v/>
      </c>
      <c r="P20" s="232">
        <f t="shared" si="7"/>
        <v>46278</v>
      </c>
      <c r="Q20" s="111" t="str">
        <f>IF(COUNTIFS(Dagslogg[Dato],P20,Dagslogg[Minus],"&lt;&gt;")=0,"",SUMIFS(Dagslogg[Minus],Dagslogg[Dato],P20))</f>
        <v/>
      </c>
      <c r="R20" s="72" t="str">
        <f t="shared" si="8"/>
        <v/>
      </c>
      <c r="S20" s="76" t="str">
        <f t="shared" si="9"/>
        <v/>
      </c>
      <c r="T20" s="74">
        <v>900</v>
      </c>
      <c r="U20" s="78" t="str">
        <f t="shared" si="10"/>
        <v/>
      </c>
      <c r="V20" s="66" t="str">
        <f>IF(R20="","",$E$5-SUM($U$14:U20))</f>
        <v/>
      </c>
      <c r="W20" s="114" t="str">
        <f>IFERROR(AVERAGEIFS(Dagslogg[Vekt],Dagslogg[Dato],"&gt;="&amp;D20,Dagslogg[Dato],"&lt;="&amp;D20+6),"")</f>
        <v/>
      </c>
      <c r="X20" s="80" t="str">
        <f t="shared" si="11"/>
        <v/>
      </c>
      <c r="Y20" s="117" t="str">
        <f>IFERROR(AVERAGEIFS(Dagslogg[Vidde],Dagslogg[Dato],"&gt;="&amp;D20,Dagslogg[Dato],"&lt;="&amp;D20+6),"")</f>
        <v/>
      </c>
      <c r="Z20"/>
    </row>
    <row r="21" spans="1:28" ht="15" customHeight="1" x14ac:dyDescent="0.2">
      <c r="A21"/>
      <c r="B21" s="68"/>
      <c r="C21" s="70">
        <f t="shared" si="0"/>
        <v>38</v>
      </c>
      <c r="D21" s="230">
        <f t="shared" si="1"/>
        <v>46279</v>
      </c>
      <c r="E21" s="108" t="str">
        <f>IF(COUNTIFS(Dagslogg[Dato],D21,Dagslogg[Minus],"&lt;&gt;")=0,"",SUMIFS(Dagslogg[Minus],Dagslogg[Dato],D21))</f>
        <v/>
      </c>
      <c r="F21" s="231">
        <f t="shared" si="2"/>
        <v>46280</v>
      </c>
      <c r="G21" s="108" t="str">
        <f>IF(COUNTIFS(Dagslogg[Dato],F21,Dagslogg[Minus],"&lt;&gt;")=0,"",SUMIFS(Dagslogg[Minus],Dagslogg[Dato],F21))</f>
        <v/>
      </c>
      <c r="H21" s="231">
        <f t="shared" si="3"/>
        <v>46281</v>
      </c>
      <c r="I21" s="108" t="str">
        <f>IF(COUNTIFS(Dagslogg[Dato],H21,Dagslogg[Minus],"&lt;&gt;")=0,"",SUMIFS(Dagslogg[Minus],Dagslogg[Dato],H21))</f>
        <v/>
      </c>
      <c r="J21" s="231">
        <f t="shared" si="4"/>
        <v>46282</v>
      </c>
      <c r="K21" s="108" t="str">
        <f>IF(COUNTIFS(Dagslogg[Dato],J21,Dagslogg[Minus],"&lt;&gt;")=0,"",SUMIFS(Dagslogg[Minus],Dagslogg[Dato],J21))</f>
        <v/>
      </c>
      <c r="L21" s="231">
        <f t="shared" si="5"/>
        <v>46283</v>
      </c>
      <c r="M21" s="108" t="str">
        <f>IF(COUNTIFS(Dagslogg[Dato],L21,Dagslogg[Minus],"&lt;&gt;")=0,"",SUMIFS(Dagslogg[Minus],Dagslogg[Dato],L21))</f>
        <v/>
      </c>
      <c r="N21" s="231">
        <f t="shared" si="6"/>
        <v>46284</v>
      </c>
      <c r="O21" s="108" t="str">
        <f>IF(COUNTIFS(Dagslogg[Dato],N21,Dagslogg[Minus],"&lt;&gt;")=0,"",SUMIFS(Dagslogg[Minus],Dagslogg[Dato],N21))</f>
        <v/>
      </c>
      <c r="P21" s="232">
        <f t="shared" si="7"/>
        <v>46285</v>
      </c>
      <c r="Q21" s="111" t="str">
        <f>IF(COUNTIFS(Dagslogg[Dato],P21,Dagslogg[Minus],"&lt;&gt;")=0,"",SUMIFS(Dagslogg[Minus],Dagslogg[Dato],P21))</f>
        <v/>
      </c>
      <c r="R21" s="72" t="str">
        <f t="shared" si="8"/>
        <v/>
      </c>
      <c r="S21" s="76" t="str">
        <f t="shared" si="9"/>
        <v/>
      </c>
      <c r="T21" s="74">
        <v>900</v>
      </c>
      <c r="U21" s="78" t="str">
        <f t="shared" si="10"/>
        <v/>
      </c>
      <c r="V21" s="66" t="str">
        <f>IF(R21="","",$E$5-SUM($U$14:U21))</f>
        <v/>
      </c>
      <c r="W21" s="114" t="str">
        <f>IFERROR(AVERAGEIFS(Dagslogg[Vekt],Dagslogg[Dato],"&gt;="&amp;D21,Dagslogg[Dato],"&lt;="&amp;D21+6),"")</f>
        <v/>
      </c>
      <c r="X21" s="80" t="str">
        <f t="shared" si="11"/>
        <v/>
      </c>
      <c r="Y21" s="117" t="str">
        <f>IFERROR(AVERAGEIFS(Dagslogg[Vidde],Dagslogg[Dato],"&gt;="&amp;D21,Dagslogg[Dato],"&lt;="&amp;D21+6),"")</f>
        <v/>
      </c>
      <c r="Z21"/>
    </row>
    <row r="22" spans="1:28" ht="15" customHeight="1" x14ac:dyDescent="0.2">
      <c r="A22"/>
      <c r="B22" s="68"/>
      <c r="C22" s="70">
        <f t="shared" si="0"/>
        <v>39</v>
      </c>
      <c r="D22" s="230">
        <f t="shared" si="1"/>
        <v>46286</v>
      </c>
      <c r="E22" s="108" t="str">
        <f>IF(COUNTIFS(Dagslogg[Dato],D22,Dagslogg[Minus],"&lt;&gt;")=0,"",SUMIFS(Dagslogg[Minus],Dagslogg[Dato],D22))</f>
        <v/>
      </c>
      <c r="F22" s="231">
        <f t="shared" si="2"/>
        <v>46287</v>
      </c>
      <c r="G22" s="108" t="str">
        <f>IF(COUNTIFS(Dagslogg[Dato],F22,Dagslogg[Minus],"&lt;&gt;")=0,"",SUMIFS(Dagslogg[Minus],Dagslogg[Dato],F22))</f>
        <v/>
      </c>
      <c r="H22" s="231">
        <f t="shared" si="3"/>
        <v>46288</v>
      </c>
      <c r="I22" s="108" t="str">
        <f>IF(COUNTIFS(Dagslogg[Dato],H22,Dagslogg[Minus],"&lt;&gt;")=0,"",SUMIFS(Dagslogg[Minus],Dagslogg[Dato],H22))</f>
        <v/>
      </c>
      <c r="J22" s="231">
        <f t="shared" si="4"/>
        <v>46289</v>
      </c>
      <c r="K22" s="108" t="str">
        <f>IF(COUNTIFS(Dagslogg[Dato],J22,Dagslogg[Minus],"&lt;&gt;")=0,"",SUMIFS(Dagslogg[Minus],Dagslogg[Dato],J22))</f>
        <v/>
      </c>
      <c r="L22" s="231">
        <f t="shared" si="5"/>
        <v>46290</v>
      </c>
      <c r="M22" s="108" t="str">
        <f>IF(COUNTIFS(Dagslogg[Dato],L22,Dagslogg[Minus],"&lt;&gt;")=0,"",SUMIFS(Dagslogg[Minus],Dagslogg[Dato],L22))</f>
        <v/>
      </c>
      <c r="N22" s="231">
        <f t="shared" si="6"/>
        <v>46291</v>
      </c>
      <c r="O22" s="108" t="str">
        <f>IF(COUNTIFS(Dagslogg[Dato],N22,Dagslogg[Minus],"&lt;&gt;")=0,"",SUMIFS(Dagslogg[Minus],Dagslogg[Dato],N22))</f>
        <v/>
      </c>
      <c r="P22" s="232">
        <f t="shared" si="7"/>
        <v>46292</v>
      </c>
      <c r="Q22" s="111" t="str">
        <f>IF(COUNTIFS(Dagslogg[Dato],P22,Dagslogg[Minus],"&lt;&gt;")=0,"",SUMIFS(Dagslogg[Minus],Dagslogg[Dato],P22))</f>
        <v/>
      </c>
      <c r="R22" s="72" t="str">
        <f t="shared" si="8"/>
        <v/>
      </c>
      <c r="S22" s="76" t="str">
        <f t="shared" si="9"/>
        <v/>
      </c>
      <c r="T22" s="74">
        <v>900</v>
      </c>
      <c r="U22" s="78" t="str">
        <f t="shared" si="10"/>
        <v/>
      </c>
      <c r="V22" s="66" t="str">
        <f>IF(R22="","",$E$5-SUM($U$14:U22))</f>
        <v/>
      </c>
      <c r="W22" s="114" t="str">
        <f>IFERROR(AVERAGEIFS(Dagslogg[Vekt],Dagslogg[Dato],"&gt;="&amp;D22,Dagslogg[Dato],"&lt;="&amp;D22+6),"")</f>
        <v/>
      </c>
      <c r="X22" s="80" t="str">
        <f t="shared" si="11"/>
        <v/>
      </c>
      <c r="Y22" s="117" t="str">
        <f>IFERROR(AVERAGEIFS(Dagslogg[Vidde],Dagslogg[Dato],"&gt;="&amp;D22,Dagslogg[Dato],"&lt;="&amp;D22+6),"")</f>
        <v/>
      </c>
      <c r="Z22"/>
    </row>
    <row r="23" spans="1:28" ht="15" customHeight="1" x14ac:dyDescent="0.2">
      <c r="A23"/>
      <c r="B23" s="69" t="s">
        <v>62</v>
      </c>
      <c r="C23" s="71">
        <f t="shared" si="0"/>
        <v>40</v>
      </c>
      <c r="D23" s="233">
        <f t="shared" si="1"/>
        <v>46293</v>
      </c>
      <c r="E23" s="109" t="str">
        <f>IF(COUNTIFS(Dagslogg[Dato],D23,Dagslogg[Minus],"&lt;&gt;")=0,"",SUMIFS(Dagslogg[Minus],Dagslogg[Dato],D23))</f>
        <v/>
      </c>
      <c r="F23" s="234">
        <f t="shared" si="2"/>
        <v>46294</v>
      </c>
      <c r="G23" s="109" t="str">
        <f>IF(COUNTIFS(Dagslogg[Dato],F23,Dagslogg[Minus],"&lt;&gt;")=0,"",SUMIFS(Dagslogg[Minus],Dagslogg[Dato],F23))</f>
        <v/>
      </c>
      <c r="H23" s="234">
        <f t="shared" si="3"/>
        <v>46295</v>
      </c>
      <c r="I23" s="109" t="str">
        <f>IF(COUNTIFS(Dagslogg[Dato],H23,Dagslogg[Minus],"&lt;&gt;")=0,"",SUMIFS(Dagslogg[Minus],Dagslogg[Dato],H23))</f>
        <v/>
      </c>
      <c r="J23" s="234">
        <f t="shared" si="4"/>
        <v>46296</v>
      </c>
      <c r="K23" s="109" t="str">
        <f>IF(COUNTIFS(Dagslogg[Dato],J23,Dagslogg[Minus],"&lt;&gt;")=0,"",SUMIFS(Dagslogg[Minus],Dagslogg[Dato],J23))</f>
        <v/>
      </c>
      <c r="L23" s="234">
        <f t="shared" si="5"/>
        <v>46297</v>
      </c>
      <c r="M23" s="109" t="str">
        <f>IF(COUNTIFS(Dagslogg[Dato],L23,Dagslogg[Minus],"&lt;&gt;")=0,"",SUMIFS(Dagslogg[Minus],Dagslogg[Dato],L23))</f>
        <v/>
      </c>
      <c r="N23" s="234">
        <f t="shared" si="6"/>
        <v>46298</v>
      </c>
      <c r="O23" s="109" t="str">
        <f>IF(COUNTIFS(Dagslogg[Dato],N23,Dagslogg[Minus],"&lt;&gt;")=0,"",SUMIFS(Dagslogg[Minus],Dagslogg[Dato],N23))</f>
        <v/>
      </c>
      <c r="P23" s="235">
        <f t="shared" si="7"/>
        <v>46299</v>
      </c>
      <c r="Q23" s="112" t="str">
        <f>IF(COUNTIFS(Dagslogg[Dato],P23,Dagslogg[Minus],"&lt;&gt;")=0,"",SUMIFS(Dagslogg[Minus],Dagslogg[Dato],P23))</f>
        <v/>
      </c>
      <c r="R23" s="73" t="str">
        <f t="shared" si="8"/>
        <v/>
      </c>
      <c r="S23" s="77" t="str">
        <f t="shared" si="9"/>
        <v/>
      </c>
      <c r="T23" s="75">
        <v>800</v>
      </c>
      <c r="U23" s="79" t="str">
        <f t="shared" si="10"/>
        <v/>
      </c>
      <c r="V23" s="67" t="str">
        <f>IF(R23="","",$E$5-SUM($U$14:U23))</f>
        <v/>
      </c>
      <c r="W23" s="115" t="str">
        <f>IFERROR(AVERAGEIFS(Dagslogg[Vekt],Dagslogg[Dato],"&gt;="&amp;D23,Dagslogg[Dato],"&lt;="&amp;D23+6),"")</f>
        <v/>
      </c>
      <c r="X23" s="81" t="str">
        <f t="shared" si="11"/>
        <v/>
      </c>
      <c r="Y23" s="118" t="str">
        <f>IFERROR(AVERAGEIFS(Dagslogg[Vidde],Dagslogg[Dato],"&gt;="&amp;D23,Dagslogg[Dato],"&lt;="&amp;D23+6),"")</f>
        <v/>
      </c>
      <c r="Z23"/>
    </row>
    <row r="24" spans="1:28" ht="15" customHeight="1" x14ac:dyDescent="0.2">
      <c r="A24"/>
      <c r="B24" s="69"/>
      <c r="C24" s="71">
        <f t="shared" si="0"/>
        <v>41</v>
      </c>
      <c r="D24" s="233">
        <f t="shared" si="1"/>
        <v>46300</v>
      </c>
      <c r="E24" s="109" t="str">
        <f>IF(COUNTIFS(Dagslogg[Dato],D24,Dagslogg[Minus],"&lt;&gt;")=0,"",SUMIFS(Dagslogg[Minus],Dagslogg[Dato],D24))</f>
        <v/>
      </c>
      <c r="F24" s="234">
        <f t="shared" si="2"/>
        <v>46301</v>
      </c>
      <c r="G24" s="109" t="str">
        <f>IF(COUNTIFS(Dagslogg[Dato],F24,Dagslogg[Minus],"&lt;&gt;")=0,"",SUMIFS(Dagslogg[Minus],Dagslogg[Dato],F24))</f>
        <v/>
      </c>
      <c r="H24" s="234">
        <f t="shared" si="3"/>
        <v>46302</v>
      </c>
      <c r="I24" s="109" t="str">
        <f>IF(COUNTIFS(Dagslogg[Dato],H24,Dagslogg[Minus],"&lt;&gt;")=0,"",SUMIFS(Dagslogg[Minus],Dagslogg[Dato],H24))</f>
        <v/>
      </c>
      <c r="J24" s="234">
        <f t="shared" si="4"/>
        <v>46303</v>
      </c>
      <c r="K24" s="109" t="str">
        <f>IF(COUNTIFS(Dagslogg[Dato],J24,Dagslogg[Minus],"&lt;&gt;")=0,"",SUMIFS(Dagslogg[Minus],Dagslogg[Dato],J24))</f>
        <v/>
      </c>
      <c r="L24" s="234">
        <f t="shared" si="5"/>
        <v>46304</v>
      </c>
      <c r="M24" s="109" t="str">
        <f>IF(COUNTIFS(Dagslogg[Dato],L24,Dagslogg[Minus],"&lt;&gt;")=0,"",SUMIFS(Dagslogg[Minus],Dagslogg[Dato],L24))</f>
        <v/>
      </c>
      <c r="N24" s="234">
        <f t="shared" si="6"/>
        <v>46305</v>
      </c>
      <c r="O24" s="109" t="str">
        <f>IF(COUNTIFS(Dagslogg[Dato],N24,Dagslogg[Minus],"&lt;&gt;")=0,"",SUMIFS(Dagslogg[Minus],Dagslogg[Dato],N24))</f>
        <v/>
      </c>
      <c r="P24" s="235">
        <f t="shared" si="7"/>
        <v>46306</v>
      </c>
      <c r="Q24" s="112" t="str">
        <f>IF(COUNTIFS(Dagslogg[Dato],P24,Dagslogg[Minus],"&lt;&gt;")=0,"",SUMIFS(Dagslogg[Minus],Dagslogg[Dato],P24))</f>
        <v/>
      </c>
      <c r="R24" s="73" t="str">
        <f t="shared" si="8"/>
        <v/>
      </c>
      <c r="S24" s="77" t="str">
        <f t="shared" si="9"/>
        <v/>
      </c>
      <c r="T24" s="75">
        <v>800</v>
      </c>
      <c r="U24" s="79" t="str">
        <f t="shared" si="10"/>
        <v/>
      </c>
      <c r="V24" s="67" t="str">
        <f>IF(R24="","",$E$5-SUM($U$14:U24))</f>
        <v/>
      </c>
      <c r="W24" s="115" t="str">
        <f>IFERROR(AVERAGEIFS(Dagslogg[Vekt],Dagslogg[Dato],"&gt;="&amp;D24,Dagslogg[Dato],"&lt;="&amp;D24+6),"")</f>
        <v/>
      </c>
      <c r="X24" s="81" t="str">
        <f t="shared" si="11"/>
        <v/>
      </c>
      <c r="Y24" s="118" t="str">
        <f>IFERROR(AVERAGEIFS(Dagslogg[Vidde],Dagslogg[Dato],"&gt;="&amp;D24,Dagslogg[Dato],"&lt;="&amp;D24+6),"")</f>
        <v/>
      </c>
      <c r="Z24"/>
    </row>
    <row r="25" spans="1:28" ht="15" customHeight="1" x14ac:dyDescent="0.2">
      <c r="A25"/>
      <c r="B25" s="69"/>
      <c r="C25" s="71">
        <f t="shared" si="0"/>
        <v>42</v>
      </c>
      <c r="D25" s="233">
        <f t="shared" si="1"/>
        <v>46307</v>
      </c>
      <c r="E25" s="109" t="str">
        <f>IF(COUNTIFS(Dagslogg[Dato],D25,Dagslogg[Minus],"&lt;&gt;")=0,"",SUMIFS(Dagslogg[Minus],Dagslogg[Dato],D25))</f>
        <v/>
      </c>
      <c r="F25" s="234">
        <f t="shared" si="2"/>
        <v>46308</v>
      </c>
      <c r="G25" s="109" t="str">
        <f>IF(COUNTIFS(Dagslogg[Dato],F25,Dagslogg[Minus],"&lt;&gt;")=0,"",SUMIFS(Dagslogg[Minus],Dagslogg[Dato],F25))</f>
        <v/>
      </c>
      <c r="H25" s="234">
        <f t="shared" si="3"/>
        <v>46309</v>
      </c>
      <c r="I25" s="109" t="str">
        <f>IF(COUNTIFS(Dagslogg[Dato],H25,Dagslogg[Minus],"&lt;&gt;")=0,"",SUMIFS(Dagslogg[Minus],Dagslogg[Dato],H25))</f>
        <v/>
      </c>
      <c r="J25" s="234">
        <f t="shared" si="4"/>
        <v>46310</v>
      </c>
      <c r="K25" s="109" t="str">
        <f>IF(COUNTIFS(Dagslogg[Dato],J25,Dagslogg[Minus],"&lt;&gt;")=0,"",SUMIFS(Dagslogg[Minus],Dagslogg[Dato],J25))</f>
        <v/>
      </c>
      <c r="L25" s="234">
        <f t="shared" si="5"/>
        <v>46311</v>
      </c>
      <c r="M25" s="109" t="str">
        <f>IF(COUNTIFS(Dagslogg[Dato],L25,Dagslogg[Minus],"&lt;&gt;")=0,"",SUMIFS(Dagslogg[Minus],Dagslogg[Dato],L25))</f>
        <v/>
      </c>
      <c r="N25" s="234">
        <f t="shared" si="6"/>
        <v>46312</v>
      </c>
      <c r="O25" s="109" t="str">
        <f>IF(COUNTIFS(Dagslogg[Dato],N25,Dagslogg[Minus],"&lt;&gt;")=0,"",SUMIFS(Dagslogg[Minus],Dagslogg[Dato],N25))</f>
        <v/>
      </c>
      <c r="P25" s="235">
        <f t="shared" si="7"/>
        <v>46313</v>
      </c>
      <c r="Q25" s="112" t="str">
        <f>IF(COUNTIFS(Dagslogg[Dato],P25,Dagslogg[Minus],"&lt;&gt;")=0,"",SUMIFS(Dagslogg[Minus],Dagslogg[Dato],P25))</f>
        <v/>
      </c>
      <c r="R25" s="73" t="str">
        <f t="shared" si="8"/>
        <v/>
      </c>
      <c r="S25" s="77" t="str">
        <f t="shared" si="9"/>
        <v/>
      </c>
      <c r="T25" s="75">
        <v>800</v>
      </c>
      <c r="U25" s="79" t="str">
        <f t="shared" si="10"/>
        <v/>
      </c>
      <c r="V25" s="67" t="str">
        <f>IF(R25="","",$E$5-SUM($U$14:U25))</f>
        <v/>
      </c>
      <c r="W25" s="115" t="str">
        <f>IFERROR(AVERAGEIFS(Dagslogg[Vekt],Dagslogg[Dato],"&gt;="&amp;D25,Dagslogg[Dato],"&lt;="&amp;D25+6),"")</f>
        <v/>
      </c>
      <c r="X25" s="81" t="str">
        <f t="shared" si="11"/>
        <v/>
      </c>
      <c r="Y25" s="118" t="str">
        <f>IFERROR(AVERAGEIFS(Dagslogg[Vidde],Dagslogg[Dato],"&gt;="&amp;D25,Dagslogg[Dato],"&lt;="&amp;D25+6),"")</f>
        <v/>
      </c>
      <c r="Z25" s="236" t="s">
        <v>95</v>
      </c>
      <c r="AA25" s="237"/>
      <c r="AB25" s="237"/>
    </row>
    <row r="26" spans="1:28" ht="15" customHeight="1" x14ac:dyDescent="0.2">
      <c r="A26"/>
      <c r="B26" s="69"/>
      <c r="C26" s="71">
        <f t="shared" si="0"/>
        <v>43</v>
      </c>
      <c r="D26" s="233">
        <f t="shared" si="1"/>
        <v>46314</v>
      </c>
      <c r="E26" s="109" t="str">
        <f>IF(COUNTIFS(Dagslogg[Dato],D26,Dagslogg[Minus],"&lt;&gt;")=0,"",SUMIFS(Dagslogg[Minus],Dagslogg[Dato],D26))</f>
        <v/>
      </c>
      <c r="F26" s="234">
        <f t="shared" si="2"/>
        <v>46315</v>
      </c>
      <c r="G26" s="109" t="str">
        <f>IF(COUNTIFS(Dagslogg[Dato],F26,Dagslogg[Minus],"&lt;&gt;")=0,"",SUMIFS(Dagslogg[Minus],Dagslogg[Dato],F26))</f>
        <v/>
      </c>
      <c r="H26" s="234">
        <f t="shared" si="3"/>
        <v>46316</v>
      </c>
      <c r="I26" s="109" t="str">
        <f>IF(COUNTIFS(Dagslogg[Dato],H26,Dagslogg[Minus],"&lt;&gt;")=0,"",SUMIFS(Dagslogg[Minus],Dagslogg[Dato],H26))</f>
        <v/>
      </c>
      <c r="J26" s="234">
        <f t="shared" si="4"/>
        <v>46317</v>
      </c>
      <c r="K26" s="109" t="str">
        <f>IF(COUNTIFS(Dagslogg[Dato],J26,Dagslogg[Minus],"&lt;&gt;")=0,"",SUMIFS(Dagslogg[Minus],Dagslogg[Dato],J26))</f>
        <v/>
      </c>
      <c r="L26" s="234">
        <f t="shared" si="5"/>
        <v>46318</v>
      </c>
      <c r="M26" s="109" t="str">
        <f>IF(COUNTIFS(Dagslogg[Dato],L26,Dagslogg[Minus],"&lt;&gt;")=0,"",SUMIFS(Dagslogg[Minus],Dagslogg[Dato],L26))</f>
        <v/>
      </c>
      <c r="N26" s="234">
        <f t="shared" si="6"/>
        <v>46319</v>
      </c>
      <c r="O26" s="109" t="str">
        <f>IF(COUNTIFS(Dagslogg[Dato],N26,Dagslogg[Minus],"&lt;&gt;")=0,"",SUMIFS(Dagslogg[Minus],Dagslogg[Dato],N26))</f>
        <v/>
      </c>
      <c r="P26" s="235">
        <f t="shared" si="7"/>
        <v>46320</v>
      </c>
      <c r="Q26" s="112" t="str">
        <f>IF(COUNTIFS(Dagslogg[Dato],P26,Dagslogg[Minus],"&lt;&gt;")=0,"",SUMIFS(Dagslogg[Minus],Dagslogg[Dato],P26))</f>
        <v/>
      </c>
      <c r="R26" s="73" t="str">
        <f t="shared" si="8"/>
        <v/>
      </c>
      <c r="S26" s="77" t="str">
        <f t="shared" si="9"/>
        <v/>
      </c>
      <c r="T26" s="75">
        <v>800</v>
      </c>
      <c r="U26" s="79" t="str">
        <f t="shared" si="10"/>
        <v/>
      </c>
      <c r="V26" s="67" t="str">
        <f>IF(R26="","",$E$5-SUM($U$14:U26))</f>
        <v/>
      </c>
      <c r="W26" s="115" t="str">
        <f>IFERROR(AVERAGEIFS(Dagslogg[Vekt],Dagslogg[Dato],"&gt;="&amp;D26,Dagslogg[Dato],"&lt;="&amp;D26+6),"")</f>
        <v/>
      </c>
      <c r="X26" s="81" t="str">
        <f t="shared" si="11"/>
        <v/>
      </c>
      <c r="Y26" s="118" t="str">
        <f>IFERROR(AVERAGEIFS(Dagslogg[Vidde],Dagslogg[Dato],"&gt;="&amp;D26,Dagslogg[Dato],"&lt;="&amp;D26+6),"")</f>
        <v/>
      </c>
      <c r="Z26" s="236" t="s">
        <v>86</v>
      </c>
      <c r="AA26" s="237" t="s">
        <v>92</v>
      </c>
      <c r="AB26" s="237" t="s">
        <v>65</v>
      </c>
    </row>
    <row r="27" spans="1:28" ht="15" customHeight="1" x14ac:dyDescent="0.2">
      <c r="A27"/>
      <c r="B27" s="69"/>
      <c r="C27" s="71">
        <f t="shared" si="0"/>
        <v>44</v>
      </c>
      <c r="D27" s="233">
        <f t="shared" si="1"/>
        <v>46321</v>
      </c>
      <c r="E27" s="109" t="str">
        <f>IF(COUNTIFS(Dagslogg[Dato],D27,Dagslogg[Minus],"&lt;&gt;")=0,"",SUMIFS(Dagslogg[Minus],Dagslogg[Dato],D27))</f>
        <v/>
      </c>
      <c r="F27" s="234">
        <f t="shared" si="2"/>
        <v>46322</v>
      </c>
      <c r="G27" s="109" t="str">
        <f>IF(COUNTIFS(Dagslogg[Dato],F27,Dagslogg[Minus],"&lt;&gt;")=0,"",SUMIFS(Dagslogg[Minus],Dagslogg[Dato],F27))</f>
        <v/>
      </c>
      <c r="H27" s="234">
        <f t="shared" si="3"/>
        <v>46323</v>
      </c>
      <c r="I27" s="109" t="str">
        <f>IF(COUNTIFS(Dagslogg[Dato],H27,Dagslogg[Minus],"&lt;&gt;")=0,"",SUMIFS(Dagslogg[Minus],Dagslogg[Dato],H27))</f>
        <v/>
      </c>
      <c r="J27" s="234">
        <f t="shared" si="4"/>
        <v>46324</v>
      </c>
      <c r="K27" s="109" t="str">
        <f>IF(COUNTIFS(Dagslogg[Dato],J27,Dagslogg[Minus],"&lt;&gt;")=0,"",SUMIFS(Dagslogg[Minus],Dagslogg[Dato],J27))</f>
        <v/>
      </c>
      <c r="L27" s="234">
        <f t="shared" si="5"/>
        <v>46325</v>
      </c>
      <c r="M27" s="109" t="str">
        <f>IF(COUNTIFS(Dagslogg[Dato],L27,Dagslogg[Minus],"&lt;&gt;")=0,"",SUMIFS(Dagslogg[Minus],Dagslogg[Dato],L27))</f>
        <v/>
      </c>
      <c r="N27" s="234">
        <f t="shared" si="6"/>
        <v>46326</v>
      </c>
      <c r="O27" s="109" t="str">
        <f>IF(COUNTIFS(Dagslogg[Dato],N27,Dagslogg[Minus],"&lt;&gt;")=0,"",SUMIFS(Dagslogg[Minus],Dagslogg[Dato],N27))</f>
        <v/>
      </c>
      <c r="P27" s="235">
        <f t="shared" si="7"/>
        <v>46327</v>
      </c>
      <c r="Q27" s="112" t="str">
        <f>IF(COUNTIFS(Dagslogg[Dato],P27,Dagslogg[Minus],"&lt;&gt;")=0,"",SUMIFS(Dagslogg[Minus],Dagslogg[Dato],P27))</f>
        <v/>
      </c>
      <c r="R27" s="73" t="str">
        <f t="shared" si="8"/>
        <v/>
      </c>
      <c r="S27" s="77" t="str">
        <f t="shared" si="9"/>
        <v/>
      </c>
      <c r="T27" s="75">
        <v>700</v>
      </c>
      <c r="U27" s="79" t="str">
        <f t="shared" si="10"/>
        <v/>
      </c>
      <c r="V27" s="67" t="str">
        <f>IF(R27="","",$E$5-SUM($U$14:U27))</f>
        <v/>
      </c>
      <c r="W27" s="115" t="str">
        <f>IFERROR(AVERAGEIFS(Dagslogg[Vekt],Dagslogg[Dato],"&gt;="&amp;D27,Dagslogg[Dato],"&lt;="&amp;D27+6),"")</f>
        <v/>
      </c>
      <c r="X27" s="81" t="str">
        <f t="shared" si="11"/>
        <v/>
      </c>
      <c r="Y27" s="118" t="str">
        <f>IFERROR(AVERAGEIFS(Dagslogg[Vidde],Dagslogg[Dato],"&gt;="&amp;D27,Dagslogg[Dato],"&lt;="&amp;D27+6),"")</f>
        <v/>
      </c>
      <c r="Z27" s="236">
        <f>C14</f>
        <v>31</v>
      </c>
      <c r="AA27" s="237">
        <f>IF(R14="",NA(),V14)</f>
        <v>77.17</v>
      </c>
      <c r="AB27" s="237">
        <f>IF(W14="",NA(),W14)</f>
        <v>77.5</v>
      </c>
    </row>
    <row r="28" spans="1:28" ht="15" customHeight="1" x14ac:dyDescent="0.2">
      <c r="A28"/>
      <c r="B28" s="68" t="s">
        <v>63</v>
      </c>
      <c r="C28" s="70">
        <f t="shared" si="0"/>
        <v>45</v>
      </c>
      <c r="D28" s="230">
        <f t="shared" si="1"/>
        <v>46328</v>
      </c>
      <c r="E28" s="108" t="str">
        <f>IF(COUNTIFS(Dagslogg[Dato],D28,Dagslogg[Minus],"&lt;&gt;")=0,"",SUMIFS(Dagslogg[Minus],Dagslogg[Dato],D28))</f>
        <v/>
      </c>
      <c r="F28" s="231">
        <f t="shared" si="2"/>
        <v>46329</v>
      </c>
      <c r="G28" s="108" t="str">
        <f>IF(COUNTIFS(Dagslogg[Dato],F28,Dagslogg[Minus],"&lt;&gt;")=0,"",SUMIFS(Dagslogg[Minus],Dagslogg[Dato],F28))</f>
        <v/>
      </c>
      <c r="H28" s="231">
        <f t="shared" si="3"/>
        <v>46330</v>
      </c>
      <c r="I28" s="108" t="str">
        <f>IF(COUNTIFS(Dagslogg[Dato],H28,Dagslogg[Minus],"&lt;&gt;")=0,"",SUMIFS(Dagslogg[Minus],Dagslogg[Dato],H28))</f>
        <v/>
      </c>
      <c r="J28" s="231">
        <f t="shared" si="4"/>
        <v>46331</v>
      </c>
      <c r="K28" s="108" t="str">
        <f>IF(COUNTIFS(Dagslogg[Dato],J28,Dagslogg[Minus],"&lt;&gt;")=0,"",SUMIFS(Dagslogg[Minus],Dagslogg[Dato],J28))</f>
        <v/>
      </c>
      <c r="L28" s="231">
        <f t="shared" si="5"/>
        <v>46332</v>
      </c>
      <c r="M28" s="108" t="str">
        <f>IF(COUNTIFS(Dagslogg[Dato],L28,Dagslogg[Minus],"&lt;&gt;")=0,"",SUMIFS(Dagslogg[Minus],Dagslogg[Dato],L28))</f>
        <v/>
      </c>
      <c r="N28" s="231">
        <f t="shared" si="6"/>
        <v>46333</v>
      </c>
      <c r="O28" s="108" t="str">
        <f>IF(COUNTIFS(Dagslogg[Dato],N28,Dagslogg[Minus],"&lt;&gt;")=0,"",SUMIFS(Dagslogg[Minus],Dagslogg[Dato],N28))</f>
        <v/>
      </c>
      <c r="P28" s="232">
        <f t="shared" si="7"/>
        <v>46334</v>
      </c>
      <c r="Q28" s="111" t="str">
        <f>IF(COUNTIFS(Dagslogg[Dato],P28,Dagslogg[Minus],"&lt;&gt;")=0,"",SUMIFS(Dagslogg[Minus],Dagslogg[Dato],P28))</f>
        <v/>
      </c>
      <c r="R28" s="72" t="str">
        <f t="shared" si="8"/>
        <v/>
      </c>
      <c r="S28" s="76" t="str">
        <f t="shared" si="9"/>
        <v/>
      </c>
      <c r="T28" s="74">
        <v>700</v>
      </c>
      <c r="U28" s="78" t="str">
        <f t="shared" si="10"/>
        <v/>
      </c>
      <c r="V28" s="66" t="str">
        <f>IF(R28="","",$E$5-SUM($U$14:U28))</f>
        <v/>
      </c>
      <c r="W28" s="114" t="str">
        <f>IFERROR(AVERAGEIFS(Dagslogg[Vekt],Dagslogg[Dato],"&gt;="&amp;D28,Dagslogg[Dato],"&lt;="&amp;D28+6),"")</f>
        <v/>
      </c>
      <c r="X28" s="80" t="str">
        <f t="shared" si="11"/>
        <v/>
      </c>
      <c r="Y28" s="117" t="str">
        <f>IFERROR(AVERAGEIFS(Dagslogg[Vidde],Dagslogg[Dato],"&gt;="&amp;D28,Dagslogg[Dato],"&lt;="&amp;D28+6),"")</f>
        <v/>
      </c>
      <c r="Z28" s="236">
        <f t="shared" ref="Z28:Z47" si="12">C15</f>
        <v>32</v>
      </c>
      <c r="AA28" s="237" t="e">
        <f t="shared" ref="AA28:AA47" si="13">IF(R15="",NA(),V15)</f>
        <v>#N/A</v>
      </c>
      <c r="AB28" s="237" t="e">
        <f t="shared" ref="AB28:AB47" si="14">IF(W15="",NA(),W15)</f>
        <v>#N/A</v>
      </c>
    </row>
    <row r="29" spans="1:28" ht="15.75" customHeight="1" x14ac:dyDescent="0.2">
      <c r="A29"/>
      <c r="B29" s="68"/>
      <c r="C29" s="70">
        <f t="shared" si="0"/>
        <v>46</v>
      </c>
      <c r="D29" s="230">
        <f t="shared" si="1"/>
        <v>46335</v>
      </c>
      <c r="E29" s="108" t="str">
        <f>IF(COUNTIFS(Dagslogg[Dato],D29,Dagslogg[Minus],"&lt;&gt;")=0,"",SUMIFS(Dagslogg[Minus],Dagslogg[Dato],D29))</f>
        <v/>
      </c>
      <c r="F29" s="231">
        <f t="shared" si="2"/>
        <v>46336</v>
      </c>
      <c r="G29" s="108" t="str">
        <f>IF(COUNTIFS(Dagslogg[Dato],F29,Dagslogg[Minus],"&lt;&gt;")=0,"",SUMIFS(Dagslogg[Minus],Dagslogg[Dato],F29))</f>
        <v/>
      </c>
      <c r="H29" s="231">
        <f t="shared" si="3"/>
        <v>46337</v>
      </c>
      <c r="I29" s="108" t="str">
        <f>IF(COUNTIFS(Dagslogg[Dato],H29,Dagslogg[Minus],"&lt;&gt;")=0,"",SUMIFS(Dagslogg[Minus],Dagslogg[Dato],H29))</f>
        <v/>
      </c>
      <c r="J29" s="231">
        <f t="shared" si="4"/>
        <v>46338</v>
      </c>
      <c r="K29" s="108" t="str">
        <f>IF(COUNTIFS(Dagslogg[Dato],J29,Dagslogg[Minus],"&lt;&gt;")=0,"",SUMIFS(Dagslogg[Minus],Dagslogg[Dato],J29))</f>
        <v/>
      </c>
      <c r="L29" s="231">
        <f t="shared" si="5"/>
        <v>46339</v>
      </c>
      <c r="M29" s="108" t="str">
        <f>IF(COUNTIFS(Dagslogg[Dato],L29,Dagslogg[Minus],"&lt;&gt;")=0,"",SUMIFS(Dagslogg[Minus],Dagslogg[Dato],L29))</f>
        <v/>
      </c>
      <c r="N29" s="231">
        <f t="shared" si="6"/>
        <v>46340</v>
      </c>
      <c r="O29" s="108" t="str">
        <f>IF(COUNTIFS(Dagslogg[Dato],N29,Dagslogg[Minus],"&lt;&gt;")=0,"",SUMIFS(Dagslogg[Minus],Dagslogg[Dato],N29))</f>
        <v/>
      </c>
      <c r="P29" s="232">
        <f t="shared" si="7"/>
        <v>46341</v>
      </c>
      <c r="Q29" s="111" t="str">
        <f>IF(COUNTIFS(Dagslogg[Dato],P29,Dagslogg[Minus],"&lt;&gt;")=0,"",SUMIFS(Dagslogg[Minus],Dagslogg[Dato],P29))</f>
        <v/>
      </c>
      <c r="R29" s="72" t="str">
        <f t="shared" si="8"/>
        <v/>
      </c>
      <c r="S29" s="76" t="str">
        <f t="shared" si="9"/>
        <v/>
      </c>
      <c r="T29" s="74">
        <v>700</v>
      </c>
      <c r="U29" s="78" t="str">
        <f t="shared" si="10"/>
        <v/>
      </c>
      <c r="V29" s="66" t="str">
        <f>IF(R29="","",$E$5-SUM($U$14:U29))</f>
        <v/>
      </c>
      <c r="W29" s="114" t="str">
        <f>IFERROR(AVERAGEIFS(Dagslogg[Vekt],Dagslogg[Dato],"&gt;="&amp;D29,Dagslogg[Dato],"&lt;="&amp;D29+6),"")</f>
        <v/>
      </c>
      <c r="X29" s="80" t="str">
        <f t="shared" si="11"/>
        <v/>
      </c>
      <c r="Y29" s="117" t="str">
        <f>IFERROR(AVERAGEIFS(Dagslogg[Vidde],Dagslogg[Dato],"&gt;="&amp;D29,Dagslogg[Dato],"&lt;="&amp;D29+6),"")</f>
        <v/>
      </c>
      <c r="Z29" s="236">
        <f t="shared" si="12"/>
        <v>33</v>
      </c>
      <c r="AA29" s="237" t="e">
        <f t="shared" si="13"/>
        <v>#N/A</v>
      </c>
      <c r="AB29" s="237" t="e">
        <f t="shared" si="14"/>
        <v>#N/A</v>
      </c>
    </row>
    <row r="30" spans="1:28" ht="15.75" customHeight="1" x14ac:dyDescent="0.2">
      <c r="A30"/>
      <c r="B30" s="68"/>
      <c r="C30" s="70">
        <f t="shared" si="0"/>
        <v>47</v>
      </c>
      <c r="D30" s="230">
        <f t="shared" si="1"/>
        <v>46342</v>
      </c>
      <c r="E30" s="108" t="str">
        <f>IF(COUNTIFS(Dagslogg[Dato],D30,Dagslogg[Minus],"&lt;&gt;")=0,"",SUMIFS(Dagslogg[Minus],Dagslogg[Dato],D30))</f>
        <v/>
      </c>
      <c r="F30" s="231">
        <f t="shared" si="2"/>
        <v>46343</v>
      </c>
      <c r="G30" s="108" t="str">
        <f>IF(COUNTIFS(Dagslogg[Dato],F30,Dagslogg[Minus],"&lt;&gt;")=0,"",SUMIFS(Dagslogg[Minus],Dagslogg[Dato],F30))</f>
        <v/>
      </c>
      <c r="H30" s="231">
        <f t="shared" si="3"/>
        <v>46344</v>
      </c>
      <c r="I30" s="108" t="str">
        <f>IF(COUNTIFS(Dagslogg[Dato],H30,Dagslogg[Minus],"&lt;&gt;")=0,"",SUMIFS(Dagslogg[Minus],Dagslogg[Dato],H30))</f>
        <v/>
      </c>
      <c r="J30" s="231">
        <f t="shared" si="4"/>
        <v>46345</v>
      </c>
      <c r="K30" s="108" t="str">
        <f>IF(COUNTIFS(Dagslogg[Dato],J30,Dagslogg[Minus],"&lt;&gt;")=0,"",SUMIFS(Dagslogg[Minus],Dagslogg[Dato],J30))</f>
        <v/>
      </c>
      <c r="L30" s="231">
        <f t="shared" si="5"/>
        <v>46346</v>
      </c>
      <c r="M30" s="108" t="str">
        <f>IF(COUNTIFS(Dagslogg[Dato],L30,Dagslogg[Minus],"&lt;&gt;")=0,"",SUMIFS(Dagslogg[Minus],Dagslogg[Dato],L30))</f>
        <v/>
      </c>
      <c r="N30" s="231">
        <f t="shared" si="6"/>
        <v>46347</v>
      </c>
      <c r="O30" s="108" t="str">
        <f>IF(COUNTIFS(Dagslogg[Dato],N30,Dagslogg[Minus],"&lt;&gt;")=0,"",SUMIFS(Dagslogg[Minus],Dagslogg[Dato],N30))</f>
        <v/>
      </c>
      <c r="P30" s="232">
        <f t="shared" si="7"/>
        <v>46348</v>
      </c>
      <c r="Q30" s="111" t="str">
        <f>IF(COUNTIFS(Dagslogg[Dato],P30,Dagslogg[Minus],"&lt;&gt;")=0,"",SUMIFS(Dagslogg[Minus],Dagslogg[Dato],P30))</f>
        <v/>
      </c>
      <c r="R30" s="72" t="str">
        <f t="shared" si="8"/>
        <v/>
      </c>
      <c r="S30" s="76" t="str">
        <f t="shared" si="9"/>
        <v/>
      </c>
      <c r="T30" s="74">
        <v>700</v>
      </c>
      <c r="U30" s="78" t="str">
        <f t="shared" si="10"/>
        <v/>
      </c>
      <c r="V30" s="66" t="str">
        <f>IF(R30="","",$E$5-SUM($U$14:U30))</f>
        <v/>
      </c>
      <c r="W30" s="114" t="str">
        <f>IFERROR(AVERAGEIFS(Dagslogg[Vekt],Dagslogg[Dato],"&gt;="&amp;D30,Dagslogg[Dato],"&lt;="&amp;D30+6),"")</f>
        <v/>
      </c>
      <c r="X30" s="80" t="str">
        <f t="shared" si="11"/>
        <v/>
      </c>
      <c r="Y30" s="117" t="str">
        <f>IFERROR(AVERAGEIFS(Dagslogg[Vidde],Dagslogg[Dato],"&gt;="&amp;D30,Dagslogg[Dato],"&lt;="&amp;D30+6),"")</f>
        <v/>
      </c>
      <c r="Z30" s="236">
        <f t="shared" si="12"/>
        <v>34</v>
      </c>
      <c r="AA30" s="237" t="e">
        <f t="shared" si="13"/>
        <v>#N/A</v>
      </c>
      <c r="AB30" s="237" t="e">
        <f t="shared" si="14"/>
        <v>#N/A</v>
      </c>
    </row>
    <row r="31" spans="1:28" ht="15.75" customHeight="1" x14ac:dyDescent="0.2">
      <c r="A31"/>
      <c r="B31" s="68"/>
      <c r="C31" s="70">
        <f t="shared" si="0"/>
        <v>48</v>
      </c>
      <c r="D31" s="230">
        <f t="shared" si="1"/>
        <v>46349</v>
      </c>
      <c r="E31" s="108" t="str">
        <f>IF(COUNTIFS(Dagslogg[Dato],D31,Dagslogg[Minus],"&lt;&gt;")=0,"",SUMIFS(Dagslogg[Minus],Dagslogg[Dato],D31))</f>
        <v/>
      </c>
      <c r="F31" s="231">
        <f t="shared" si="2"/>
        <v>46350</v>
      </c>
      <c r="G31" s="108" t="str">
        <f>IF(COUNTIFS(Dagslogg[Dato],F31,Dagslogg[Minus],"&lt;&gt;")=0,"",SUMIFS(Dagslogg[Minus],Dagslogg[Dato],F31))</f>
        <v/>
      </c>
      <c r="H31" s="231">
        <f t="shared" si="3"/>
        <v>46351</v>
      </c>
      <c r="I31" s="108" t="str">
        <f>IF(COUNTIFS(Dagslogg[Dato],H31,Dagslogg[Minus],"&lt;&gt;")=0,"",SUMIFS(Dagslogg[Minus],Dagslogg[Dato],H31))</f>
        <v/>
      </c>
      <c r="J31" s="231">
        <f t="shared" si="4"/>
        <v>46352</v>
      </c>
      <c r="K31" s="108" t="str">
        <f>IF(COUNTIFS(Dagslogg[Dato],J31,Dagslogg[Minus],"&lt;&gt;")=0,"",SUMIFS(Dagslogg[Minus],Dagslogg[Dato],J31))</f>
        <v/>
      </c>
      <c r="L31" s="231">
        <f t="shared" si="5"/>
        <v>46353</v>
      </c>
      <c r="M31" s="108" t="str">
        <f>IF(COUNTIFS(Dagslogg[Dato],L31,Dagslogg[Minus],"&lt;&gt;")=0,"",SUMIFS(Dagslogg[Minus],Dagslogg[Dato],L31))</f>
        <v/>
      </c>
      <c r="N31" s="231">
        <f t="shared" si="6"/>
        <v>46354</v>
      </c>
      <c r="O31" s="108" t="str">
        <f>IF(COUNTIFS(Dagslogg[Dato],N31,Dagslogg[Minus],"&lt;&gt;")=0,"",SUMIFS(Dagslogg[Minus],Dagslogg[Dato],N31))</f>
        <v/>
      </c>
      <c r="P31" s="232">
        <f t="shared" si="7"/>
        <v>46355</v>
      </c>
      <c r="Q31" s="111" t="str">
        <f>IF(COUNTIFS(Dagslogg[Dato],P31,Dagslogg[Minus],"&lt;&gt;")=0,"",SUMIFS(Dagslogg[Minus],Dagslogg[Dato],P31))</f>
        <v/>
      </c>
      <c r="R31" s="72" t="str">
        <f t="shared" si="8"/>
        <v/>
      </c>
      <c r="S31" s="76" t="str">
        <f t="shared" si="9"/>
        <v/>
      </c>
      <c r="T31" s="74">
        <v>600</v>
      </c>
      <c r="U31" s="78" t="str">
        <f t="shared" si="10"/>
        <v/>
      </c>
      <c r="V31" s="66" t="str">
        <f>IF(R31="","",$E$5-SUM($U$14:U31))</f>
        <v/>
      </c>
      <c r="W31" s="114" t="str">
        <f>IFERROR(AVERAGEIFS(Dagslogg[Vekt],Dagslogg[Dato],"&gt;="&amp;D31,Dagslogg[Dato],"&lt;="&amp;D31+6),"")</f>
        <v/>
      </c>
      <c r="X31" s="80" t="str">
        <f t="shared" si="11"/>
        <v/>
      </c>
      <c r="Y31" s="117" t="str">
        <f>IFERROR(AVERAGEIFS(Dagslogg[Vidde],Dagslogg[Dato],"&gt;="&amp;D31,Dagslogg[Dato],"&lt;="&amp;D31+6),"")</f>
        <v/>
      </c>
      <c r="Z31" s="236">
        <f t="shared" si="12"/>
        <v>35</v>
      </c>
      <c r="AA31" s="237" t="e">
        <f t="shared" si="13"/>
        <v>#N/A</v>
      </c>
      <c r="AB31" s="237" t="e">
        <f t="shared" si="14"/>
        <v>#N/A</v>
      </c>
    </row>
    <row r="32" spans="1:28" x14ac:dyDescent="0.2">
      <c r="A32"/>
      <c r="B32" s="69" t="s">
        <v>64</v>
      </c>
      <c r="C32" s="71">
        <f t="shared" si="0"/>
        <v>49</v>
      </c>
      <c r="D32" s="233">
        <f t="shared" si="1"/>
        <v>46356</v>
      </c>
      <c r="E32" s="109" t="str">
        <f>IF(COUNTIFS(Dagslogg[Dato],D32,Dagslogg[Minus],"&lt;&gt;")=0,"",SUMIFS(Dagslogg[Minus],Dagslogg[Dato],D32))</f>
        <v/>
      </c>
      <c r="F32" s="234">
        <f t="shared" si="2"/>
        <v>46357</v>
      </c>
      <c r="G32" s="109" t="str">
        <f>IF(COUNTIFS(Dagslogg[Dato],F32,Dagslogg[Minus],"&lt;&gt;")=0,"",SUMIFS(Dagslogg[Minus],Dagslogg[Dato],F32))</f>
        <v/>
      </c>
      <c r="H32" s="234">
        <f t="shared" si="3"/>
        <v>46358</v>
      </c>
      <c r="I32" s="109" t="str">
        <f>IF(COUNTIFS(Dagslogg[Dato],H32,Dagslogg[Minus],"&lt;&gt;")=0,"",SUMIFS(Dagslogg[Minus],Dagslogg[Dato],H32))</f>
        <v/>
      </c>
      <c r="J32" s="234">
        <f t="shared" si="4"/>
        <v>46359</v>
      </c>
      <c r="K32" s="109" t="str">
        <f>IF(COUNTIFS(Dagslogg[Dato],J32,Dagslogg[Minus],"&lt;&gt;")=0,"",SUMIFS(Dagslogg[Minus],Dagslogg[Dato],J32))</f>
        <v/>
      </c>
      <c r="L32" s="234">
        <f t="shared" si="5"/>
        <v>46360</v>
      </c>
      <c r="M32" s="109" t="str">
        <f>IF(COUNTIFS(Dagslogg[Dato],L32,Dagslogg[Minus],"&lt;&gt;")=0,"",SUMIFS(Dagslogg[Minus],Dagslogg[Dato],L32))</f>
        <v/>
      </c>
      <c r="N32" s="234">
        <f t="shared" si="6"/>
        <v>46361</v>
      </c>
      <c r="O32" s="109" t="str">
        <f>IF(COUNTIFS(Dagslogg[Dato],N32,Dagslogg[Minus],"&lt;&gt;")=0,"",SUMIFS(Dagslogg[Minus],Dagslogg[Dato],N32))</f>
        <v/>
      </c>
      <c r="P32" s="235">
        <f t="shared" si="7"/>
        <v>46362</v>
      </c>
      <c r="Q32" s="112" t="str">
        <f>IF(COUNTIFS(Dagslogg[Dato],P32,Dagslogg[Minus],"&lt;&gt;")=0,"",SUMIFS(Dagslogg[Minus],Dagslogg[Dato],P32))</f>
        <v/>
      </c>
      <c r="R32" s="73" t="str">
        <f t="shared" si="8"/>
        <v/>
      </c>
      <c r="S32" s="77" t="str">
        <f t="shared" si="9"/>
        <v/>
      </c>
      <c r="T32" s="75">
        <v>600</v>
      </c>
      <c r="U32" s="79" t="str">
        <f t="shared" si="10"/>
        <v/>
      </c>
      <c r="V32" s="67" t="str">
        <f>IF(R32="","",$E$5-SUM($U$14:U32))</f>
        <v/>
      </c>
      <c r="W32" s="115" t="str">
        <f>IFERROR(AVERAGEIFS(Dagslogg[Vekt],Dagslogg[Dato],"&gt;="&amp;D32,Dagslogg[Dato],"&lt;="&amp;D32+6),"")</f>
        <v/>
      </c>
      <c r="X32" s="81" t="str">
        <f t="shared" si="11"/>
        <v/>
      </c>
      <c r="Y32" s="118" t="str">
        <f>IFERROR(AVERAGEIFS(Dagslogg[Vidde],Dagslogg[Dato],"&gt;="&amp;D32,Dagslogg[Dato],"&lt;="&amp;D32+6),"")</f>
        <v/>
      </c>
      <c r="Z32" s="236">
        <f t="shared" si="12"/>
        <v>36</v>
      </c>
      <c r="AA32" s="237" t="e">
        <f t="shared" si="13"/>
        <v>#N/A</v>
      </c>
      <c r="AB32" s="237" t="e">
        <f t="shared" si="14"/>
        <v>#N/A</v>
      </c>
    </row>
    <row r="33" spans="1:28" ht="15.75" customHeight="1" x14ac:dyDescent="0.2">
      <c r="A33"/>
      <c r="B33" s="69"/>
      <c r="C33" s="71">
        <f t="shared" si="0"/>
        <v>50</v>
      </c>
      <c r="D33" s="233">
        <f t="shared" si="1"/>
        <v>46363</v>
      </c>
      <c r="E33" s="109" t="str">
        <f>IF(COUNTIFS(Dagslogg[Dato],D33,Dagslogg[Minus],"&lt;&gt;")=0,"",SUMIFS(Dagslogg[Minus],Dagslogg[Dato],D33))</f>
        <v/>
      </c>
      <c r="F33" s="234">
        <f t="shared" si="2"/>
        <v>46364</v>
      </c>
      <c r="G33" s="109" t="str">
        <f>IF(COUNTIFS(Dagslogg[Dato],F33,Dagslogg[Minus],"&lt;&gt;")=0,"",SUMIFS(Dagslogg[Minus],Dagslogg[Dato],F33))</f>
        <v/>
      </c>
      <c r="H33" s="234">
        <f t="shared" si="3"/>
        <v>46365</v>
      </c>
      <c r="I33" s="109" t="str">
        <f>IF(COUNTIFS(Dagslogg[Dato],H33,Dagslogg[Minus],"&lt;&gt;")=0,"",SUMIFS(Dagslogg[Minus],Dagslogg[Dato],H33))</f>
        <v/>
      </c>
      <c r="J33" s="234">
        <f t="shared" si="4"/>
        <v>46366</v>
      </c>
      <c r="K33" s="109" t="str">
        <f>IF(COUNTIFS(Dagslogg[Dato],J33,Dagslogg[Minus],"&lt;&gt;")=0,"",SUMIFS(Dagslogg[Minus],Dagslogg[Dato],J33))</f>
        <v/>
      </c>
      <c r="L33" s="234">
        <f t="shared" si="5"/>
        <v>46367</v>
      </c>
      <c r="M33" s="109" t="str">
        <f>IF(COUNTIFS(Dagslogg[Dato],L33,Dagslogg[Minus],"&lt;&gt;")=0,"",SUMIFS(Dagslogg[Minus],Dagslogg[Dato],L33))</f>
        <v/>
      </c>
      <c r="N33" s="234">
        <f t="shared" si="6"/>
        <v>46368</v>
      </c>
      <c r="O33" s="109" t="str">
        <f>IF(COUNTIFS(Dagslogg[Dato],N33,Dagslogg[Minus],"&lt;&gt;")=0,"",SUMIFS(Dagslogg[Minus],Dagslogg[Dato],N33))</f>
        <v/>
      </c>
      <c r="P33" s="235">
        <f t="shared" si="7"/>
        <v>46369</v>
      </c>
      <c r="Q33" s="112" t="str">
        <f>IF(COUNTIFS(Dagslogg[Dato],P33,Dagslogg[Minus],"&lt;&gt;")=0,"",SUMIFS(Dagslogg[Minus],Dagslogg[Dato],P33))</f>
        <v/>
      </c>
      <c r="R33" s="73" t="str">
        <f t="shared" si="8"/>
        <v/>
      </c>
      <c r="S33" s="77" t="str">
        <f t="shared" si="9"/>
        <v/>
      </c>
      <c r="T33" s="75">
        <v>600</v>
      </c>
      <c r="U33" s="79" t="str">
        <f t="shared" si="10"/>
        <v/>
      </c>
      <c r="V33" s="67" t="str">
        <f>IF(R33="","",$E$5-SUM($U$14:U33))</f>
        <v/>
      </c>
      <c r="W33" s="115" t="str">
        <f>IFERROR(AVERAGEIFS(Dagslogg[Vekt],Dagslogg[Dato],"&gt;="&amp;D33,Dagslogg[Dato],"&lt;="&amp;D33+6),"")</f>
        <v/>
      </c>
      <c r="X33" s="81" t="str">
        <f t="shared" si="11"/>
        <v/>
      </c>
      <c r="Y33" s="118" t="str">
        <f>IFERROR(AVERAGEIFS(Dagslogg[Vidde],Dagslogg[Dato],"&gt;="&amp;D33,Dagslogg[Dato],"&lt;="&amp;D33+6),"")</f>
        <v/>
      </c>
      <c r="Z33" s="236">
        <f t="shared" si="12"/>
        <v>37</v>
      </c>
      <c r="AA33" s="237" t="e">
        <f t="shared" si="13"/>
        <v>#N/A</v>
      </c>
      <c r="AB33" s="237" t="e">
        <f t="shared" si="14"/>
        <v>#N/A</v>
      </c>
    </row>
    <row r="34" spans="1:28" ht="17" thickBot="1" x14ac:dyDescent="0.25">
      <c r="A34"/>
      <c r="B34" s="82"/>
      <c r="C34" s="83">
        <f t="shared" si="0"/>
        <v>51</v>
      </c>
      <c r="D34" s="238">
        <f t="shared" si="1"/>
        <v>46370</v>
      </c>
      <c r="E34" s="110" t="str">
        <f>IF(COUNTIFS(Dagslogg[Dato],D34,Dagslogg[Minus],"&lt;&gt;")=0,"",SUMIFS(Dagslogg[Minus],Dagslogg[Dato],D34))</f>
        <v/>
      </c>
      <c r="F34" s="239">
        <f t="shared" si="2"/>
        <v>46371</v>
      </c>
      <c r="G34" s="110" t="str">
        <f>IF(COUNTIFS(Dagslogg[Dato],F34,Dagslogg[Minus],"&lt;&gt;")=0,"",SUMIFS(Dagslogg[Minus],Dagslogg[Dato],F34))</f>
        <v/>
      </c>
      <c r="H34" s="239">
        <f t="shared" si="3"/>
        <v>46372</v>
      </c>
      <c r="I34" s="110" t="str">
        <f>IF(COUNTIFS(Dagslogg[Dato],H34,Dagslogg[Minus],"&lt;&gt;")=0,"",SUMIFS(Dagslogg[Minus],Dagslogg[Dato],H34))</f>
        <v/>
      </c>
      <c r="J34" s="239">
        <f t="shared" si="4"/>
        <v>46373</v>
      </c>
      <c r="K34" s="110" t="str">
        <f>IF(COUNTIFS(Dagslogg[Dato],J34,Dagslogg[Minus],"&lt;&gt;")=0,"",SUMIFS(Dagslogg[Minus],Dagslogg[Dato],J34))</f>
        <v/>
      </c>
      <c r="L34" s="239">
        <f t="shared" si="5"/>
        <v>46374</v>
      </c>
      <c r="M34" s="110" t="str">
        <f>IF(COUNTIFS(Dagslogg[Dato],L34,Dagslogg[Minus],"&lt;&gt;")=0,"",SUMIFS(Dagslogg[Minus],Dagslogg[Dato],L34))</f>
        <v/>
      </c>
      <c r="N34" s="239">
        <f t="shared" si="6"/>
        <v>46375</v>
      </c>
      <c r="O34" s="110" t="str">
        <f>IF(COUNTIFS(Dagslogg[Dato],N34,Dagslogg[Minus],"&lt;&gt;")=0,"",SUMIFS(Dagslogg[Minus],Dagslogg[Dato],N34))</f>
        <v/>
      </c>
      <c r="P34" s="240">
        <f t="shared" si="7"/>
        <v>46376</v>
      </c>
      <c r="Q34" s="113" t="str">
        <f>IF(COUNTIFS(Dagslogg[Dato],P34,Dagslogg[Minus],"&lt;&gt;")=0,"",SUMIFS(Dagslogg[Minus],Dagslogg[Dato],P34))</f>
        <v/>
      </c>
      <c r="R34" s="85" t="str">
        <f t="shared" si="8"/>
        <v/>
      </c>
      <c r="S34" s="86" t="str">
        <f t="shared" si="9"/>
        <v/>
      </c>
      <c r="T34" s="84">
        <v>600</v>
      </c>
      <c r="U34" s="87" t="str">
        <f t="shared" si="10"/>
        <v/>
      </c>
      <c r="V34" s="88" t="str">
        <f>IF(R34="","",$E$5-SUM($U$14:U34))</f>
        <v/>
      </c>
      <c r="W34" s="116" t="str">
        <f>IFERROR(AVERAGEIFS(Dagslogg[Vekt],Dagslogg[Dato],"&gt;="&amp;D34,Dagslogg[Dato],"&lt;="&amp;D34+6),"")</f>
        <v/>
      </c>
      <c r="X34" s="89" t="str">
        <f t="shared" si="11"/>
        <v/>
      </c>
      <c r="Y34" s="119" t="str">
        <f>IFERROR(AVERAGEIFS(Dagslogg[Vidde],Dagslogg[Dato],"&gt;="&amp;D34,Dagslogg[Dato],"&lt;="&amp;D34+6),"")</f>
        <v/>
      </c>
      <c r="Z34" s="236">
        <f t="shared" si="12"/>
        <v>38</v>
      </c>
      <c r="AA34" s="237" t="e">
        <f t="shared" si="13"/>
        <v>#N/A</v>
      </c>
      <c r="AB34" s="237" t="e">
        <f t="shared" si="14"/>
        <v>#N/A</v>
      </c>
    </row>
    <row r="35" spans="1:28" ht="17" thickBot="1" x14ac:dyDescent="0.25">
      <c r="A35"/>
      <c r="B35" s="90" t="s">
        <v>94</v>
      </c>
      <c r="C35" s="91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4"/>
      <c r="Q35" s="91"/>
      <c r="R35" s="95">
        <f>SUM(R14:R34)</f>
        <v>2100</v>
      </c>
      <c r="S35" s="96">
        <f>SUM(S14:S34)</f>
        <v>2000</v>
      </c>
      <c r="T35" s="97"/>
      <c r="U35" s="98">
        <f>SUM(U14:U34)</f>
        <v>0.28000000000000003</v>
      </c>
      <c r="V35" s="99"/>
      <c r="W35" s="100"/>
      <c r="X35" s="101"/>
      <c r="Y35" s="102"/>
      <c r="Z35" s="236">
        <f t="shared" si="12"/>
        <v>39</v>
      </c>
      <c r="AA35" s="237" t="e">
        <f t="shared" si="13"/>
        <v>#N/A</v>
      </c>
      <c r="AB35" s="237" t="e">
        <f t="shared" si="14"/>
        <v>#N/A</v>
      </c>
    </row>
    <row r="36" spans="1:28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 s="236">
        <f t="shared" si="12"/>
        <v>40</v>
      </c>
      <c r="AA36" s="237" t="e">
        <f t="shared" si="13"/>
        <v>#N/A</v>
      </c>
      <c r="AB36" s="237" t="e">
        <f t="shared" si="14"/>
        <v>#N/A</v>
      </c>
    </row>
    <row r="37" spans="1:28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 s="236">
        <f t="shared" si="12"/>
        <v>41</v>
      </c>
      <c r="AA37" s="237" t="e">
        <f t="shared" si="13"/>
        <v>#N/A</v>
      </c>
      <c r="AB37" s="237" t="e">
        <f t="shared" si="14"/>
        <v>#N/A</v>
      </c>
    </row>
    <row r="38" spans="1:28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s="236">
        <f t="shared" si="12"/>
        <v>42</v>
      </c>
      <c r="AA38" s="237" t="e">
        <f t="shared" si="13"/>
        <v>#N/A</v>
      </c>
      <c r="AB38" s="237" t="e">
        <f t="shared" si="14"/>
        <v>#N/A</v>
      </c>
    </row>
    <row r="39" spans="1:28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 s="236">
        <f t="shared" si="12"/>
        <v>43</v>
      </c>
      <c r="AA39" s="237" t="e">
        <f t="shared" si="13"/>
        <v>#N/A</v>
      </c>
      <c r="AB39" s="237" t="e">
        <f t="shared" si="14"/>
        <v>#N/A</v>
      </c>
    </row>
    <row r="40" spans="1:28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 s="236">
        <f t="shared" si="12"/>
        <v>44</v>
      </c>
      <c r="AA40" s="237" t="e">
        <f t="shared" si="13"/>
        <v>#N/A</v>
      </c>
      <c r="AB40" s="237" t="e">
        <f t="shared" si="14"/>
        <v>#N/A</v>
      </c>
    </row>
    <row r="41" spans="1:28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s="236">
        <f t="shared" si="12"/>
        <v>45</v>
      </c>
      <c r="AA41" s="237" t="e">
        <f t="shared" si="13"/>
        <v>#N/A</v>
      </c>
      <c r="AB41" s="237" t="e">
        <f t="shared" si="14"/>
        <v>#N/A</v>
      </c>
    </row>
    <row r="42" spans="1:28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s="236">
        <f t="shared" si="12"/>
        <v>46</v>
      </c>
      <c r="AA42" s="237" t="e">
        <f t="shared" si="13"/>
        <v>#N/A</v>
      </c>
      <c r="AB42" s="237" t="e">
        <f t="shared" si="14"/>
        <v>#N/A</v>
      </c>
    </row>
    <row r="43" spans="1:28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 s="236">
        <f t="shared" si="12"/>
        <v>47</v>
      </c>
      <c r="AA43" s="237" t="e">
        <f t="shared" si="13"/>
        <v>#N/A</v>
      </c>
      <c r="AB43" s="237" t="e">
        <f t="shared" si="14"/>
        <v>#N/A</v>
      </c>
    </row>
    <row r="44" spans="1:28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 s="236">
        <f t="shared" si="12"/>
        <v>48</v>
      </c>
      <c r="AA44" s="237" t="e">
        <f t="shared" si="13"/>
        <v>#N/A</v>
      </c>
      <c r="AB44" s="237" t="e">
        <f t="shared" si="14"/>
        <v>#N/A</v>
      </c>
    </row>
    <row r="45" spans="1:28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s="236">
        <f t="shared" si="12"/>
        <v>49</v>
      </c>
      <c r="AA45" s="237" t="e">
        <f t="shared" si="13"/>
        <v>#N/A</v>
      </c>
      <c r="AB45" s="237" t="e">
        <f t="shared" si="14"/>
        <v>#N/A</v>
      </c>
    </row>
    <row r="46" spans="1:28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 s="236">
        <f t="shared" si="12"/>
        <v>50</v>
      </c>
      <c r="AA46" s="237" t="e">
        <f t="shared" si="13"/>
        <v>#N/A</v>
      </c>
      <c r="AB46" s="237" t="e">
        <f t="shared" si="14"/>
        <v>#N/A</v>
      </c>
    </row>
    <row r="47" spans="1:28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 s="236">
        <f t="shared" si="12"/>
        <v>51</v>
      </c>
      <c r="AA47" s="237" t="e">
        <f t="shared" si="13"/>
        <v>#N/A</v>
      </c>
      <c r="AB47" s="237" t="e">
        <f t="shared" si="14"/>
        <v>#N/A</v>
      </c>
    </row>
    <row r="48" spans="1:28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</sheetData>
  <mergeCells count="27">
    <mergeCell ref="U12:X12"/>
    <mergeCell ref="R8:T8"/>
    <mergeCell ref="R9:T9"/>
    <mergeCell ref="R10:T10"/>
    <mergeCell ref="B12:C12"/>
    <mergeCell ref="D12:E12"/>
    <mergeCell ref="F12:G12"/>
    <mergeCell ref="H12:I12"/>
    <mergeCell ref="J12:K12"/>
    <mergeCell ref="L12:M12"/>
    <mergeCell ref="N12:O12"/>
    <mergeCell ref="P12:Q12"/>
    <mergeCell ref="R12:T12"/>
    <mergeCell ref="B6:D6"/>
    <mergeCell ref="E6:F6"/>
    <mergeCell ref="B7:D7"/>
    <mergeCell ref="E7:F7"/>
    <mergeCell ref="R3:U3"/>
    <mergeCell ref="R4:T4"/>
    <mergeCell ref="R5:T5"/>
    <mergeCell ref="R6:T6"/>
    <mergeCell ref="R7:T7"/>
    <mergeCell ref="B3:F3"/>
    <mergeCell ref="B4:D4"/>
    <mergeCell ref="E4:F4"/>
    <mergeCell ref="B5:D5"/>
    <mergeCell ref="E5:F5"/>
  </mergeCells>
  <conditionalFormatting sqref="E14:E34">
    <cfRule type="colorScale" priority="19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G14:G34">
    <cfRule type="colorScale" priority="20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I14:I34">
    <cfRule type="colorScale" priority="21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K14:K34">
    <cfRule type="colorScale" priority="22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M14:M34">
    <cfRule type="colorScale" priority="23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O14:O34">
    <cfRule type="colorScale" priority="24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Q14:Q34">
    <cfRule type="colorScale" priority="25">
      <colorScale>
        <cfvo type="min"/>
        <cfvo type="percentile" val="50"/>
        <cfvo type="max"/>
        <color rgb="FFE8B4A0"/>
        <color rgb="FFEFD9A3"/>
        <color rgb="FF9FB77E"/>
      </colorScale>
    </cfRule>
  </conditionalFormatting>
  <conditionalFormatting sqref="R14:R34">
    <cfRule type="expression" dxfId="3" priority="26">
      <formula>AND(R14&lt;&gt;"",R14&gt;=S14)</formula>
    </cfRule>
  </conditionalFormatting>
  <conditionalFormatting sqref="R14:R34">
    <cfRule type="expression" dxfId="2" priority="27">
      <formula>AND(R14&lt;&gt;"",R14&lt;S14)</formula>
    </cfRule>
  </conditionalFormatting>
  <conditionalFormatting sqref="X14:X34">
    <cfRule type="expression" dxfId="1" priority="28">
      <formula>AND(X14&lt;&gt;"",X14&lt;=0)</formula>
    </cfRule>
  </conditionalFormatting>
  <conditionalFormatting sqref="X14:X34">
    <cfRule type="expression" dxfId="0" priority="29">
      <formula>AND(X14&lt;&gt;"",X14&gt;0)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119B-A19E-814A-9A66-CEE71C3D96A9}">
  <sheetPr>
    <tabColor rgb="FFD9A125"/>
  </sheetPr>
  <dimension ref="A1:G150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D7" sqref="D7"/>
    </sheetView>
  </sheetViews>
  <sheetFormatPr baseColWidth="10" defaultRowHeight="16" x14ac:dyDescent="0.2"/>
  <cols>
    <col min="1" max="1" width="12" customWidth="1"/>
    <col min="2" max="2" width="6" customWidth="1"/>
    <col min="3" max="3" width="8" customWidth="1"/>
    <col min="4" max="4" width="10" customWidth="1"/>
    <col min="5" max="6" width="9.1640625" customWidth="1"/>
    <col min="7" max="7" width="36.6640625" customWidth="1"/>
  </cols>
  <sheetData>
    <row r="1" spans="1:7" ht="24" customHeight="1" x14ac:dyDescent="0.25">
      <c r="B1" s="272" t="s">
        <v>96</v>
      </c>
    </row>
    <row r="2" spans="1:7" x14ac:dyDescent="0.2">
      <c r="B2" s="273" t="s">
        <v>222</v>
      </c>
    </row>
    <row r="3" spans="1:7" x14ac:dyDescent="0.2">
      <c r="A3" t="s">
        <v>5</v>
      </c>
      <c r="B3" t="s">
        <v>97</v>
      </c>
      <c r="C3" t="s">
        <v>98</v>
      </c>
      <c r="D3" t="s">
        <v>99</v>
      </c>
      <c r="E3" t="s">
        <v>0</v>
      </c>
      <c r="F3" t="s">
        <v>100</v>
      </c>
      <c r="G3" t="s">
        <v>6</v>
      </c>
    </row>
    <row r="4" spans="1:7" x14ac:dyDescent="0.2">
      <c r="A4" s="55">
        <f>Vekt!$E$4+ROW()-4</f>
        <v>46230</v>
      </c>
      <c r="B4" s="187">
        <f>_xlfn.ISOWEEKNUM(Dagslogg[[#This Row],[Dato]])</f>
        <v>31</v>
      </c>
      <c r="C4" s="187" t="str">
        <f>TEXT(Dagslogg[[#This Row],[Dato]],"ddd")</f>
        <v>man</v>
      </c>
      <c r="D4" s="103"/>
      <c r="E4" s="104"/>
      <c r="F4" s="105"/>
      <c r="G4" s="106"/>
    </row>
    <row r="5" spans="1:7" x14ac:dyDescent="0.2">
      <c r="A5" s="55">
        <f>Vekt!$E$4+ROW()-4</f>
        <v>46231</v>
      </c>
      <c r="B5" s="187">
        <f>_xlfn.ISOWEEKNUM(Dagslogg[[#This Row],[Dato]])</f>
        <v>31</v>
      </c>
      <c r="C5" s="187" t="str">
        <f>TEXT(Dagslogg[[#This Row],[Dato]],"ddd")</f>
        <v>tir</v>
      </c>
      <c r="D5" s="103">
        <v>1000</v>
      </c>
      <c r="E5" s="104">
        <v>77.5</v>
      </c>
      <c r="F5" s="105">
        <v>89</v>
      </c>
      <c r="G5" s="106"/>
    </row>
    <row r="6" spans="1:7" x14ac:dyDescent="0.2">
      <c r="A6" s="55">
        <f>Vekt!$E$4+ROW()-4</f>
        <v>46232</v>
      </c>
      <c r="B6" s="187">
        <f>_xlfn.ISOWEEKNUM(Dagslogg[[#This Row],[Dato]])</f>
        <v>31</v>
      </c>
      <c r="C6" s="187" t="str">
        <f>TEXT(Dagslogg[[#This Row],[Dato]],"ddd")</f>
        <v>ons</v>
      </c>
      <c r="D6" s="103">
        <v>1100</v>
      </c>
      <c r="E6" s="104">
        <v>77.5</v>
      </c>
      <c r="F6" s="105">
        <v>88.5</v>
      </c>
      <c r="G6" s="106"/>
    </row>
    <row r="7" spans="1:7" x14ac:dyDescent="0.2">
      <c r="A7" s="55">
        <f>Vekt!$E$4+ROW()-4</f>
        <v>46233</v>
      </c>
      <c r="B7" s="107">
        <f>_xlfn.ISOWEEKNUM(Dagslogg[[#This Row],[Dato]])</f>
        <v>31</v>
      </c>
      <c r="C7" s="107" t="str">
        <f>TEXT(Dagslogg[[#This Row],[Dato]],"ddd")</f>
        <v>tor</v>
      </c>
      <c r="D7" s="103"/>
      <c r="E7" s="104"/>
      <c r="F7" s="105"/>
      <c r="G7" s="106"/>
    </row>
    <row r="8" spans="1:7" x14ac:dyDescent="0.2">
      <c r="A8" s="55">
        <f>Vekt!$E$4+ROW()-4</f>
        <v>46234</v>
      </c>
      <c r="B8" s="107">
        <f>_xlfn.ISOWEEKNUM(Dagslogg[[#This Row],[Dato]])</f>
        <v>31</v>
      </c>
      <c r="C8" s="107" t="str">
        <f>TEXT(Dagslogg[[#This Row],[Dato]],"ddd")</f>
        <v>fre</v>
      </c>
      <c r="D8" s="103"/>
      <c r="E8" s="104"/>
      <c r="F8" s="105"/>
      <c r="G8" s="106"/>
    </row>
    <row r="9" spans="1:7" x14ac:dyDescent="0.2">
      <c r="A9" s="55">
        <f>Vekt!$E$4+ROW()-4</f>
        <v>46235</v>
      </c>
      <c r="B9" s="107">
        <f>_xlfn.ISOWEEKNUM(Dagslogg[[#This Row],[Dato]])</f>
        <v>31</v>
      </c>
      <c r="C9" s="107" t="str">
        <f>TEXT(Dagslogg[[#This Row],[Dato]],"ddd")</f>
        <v>lør</v>
      </c>
      <c r="D9" s="103"/>
      <c r="E9" s="104"/>
      <c r="F9" s="105"/>
      <c r="G9" s="106"/>
    </row>
    <row r="10" spans="1:7" x14ac:dyDescent="0.2">
      <c r="A10" s="55">
        <f>Vekt!$E$4+ROW()-4</f>
        <v>46236</v>
      </c>
      <c r="B10" s="107">
        <f>_xlfn.ISOWEEKNUM(Dagslogg[[#This Row],[Dato]])</f>
        <v>31</v>
      </c>
      <c r="C10" s="107" t="str">
        <f>TEXT(Dagslogg[[#This Row],[Dato]],"ddd")</f>
        <v>søn</v>
      </c>
      <c r="D10" s="103"/>
      <c r="E10" s="104"/>
      <c r="F10" s="105"/>
      <c r="G10" s="106"/>
    </row>
    <row r="11" spans="1:7" x14ac:dyDescent="0.2">
      <c r="A11" s="55">
        <f>Vekt!$E$4+ROW()-4</f>
        <v>46237</v>
      </c>
      <c r="B11" s="107">
        <f>_xlfn.ISOWEEKNUM(Dagslogg[[#This Row],[Dato]])</f>
        <v>32</v>
      </c>
      <c r="C11" s="107" t="str">
        <f>TEXT(Dagslogg[[#This Row],[Dato]],"ddd")</f>
        <v>man</v>
      </c>
      <c r="D11" s="103"/>
      <c r="E11" s="104"/>
      <c r="F11" s="105"/>
      <c r="G11" s="106"/>
    </row>
    <row r="12" spans="1:7" x14ac:dyDescent="0.2">
      <c r="A12" s="55">
        <f>Vekt!$E$4+ROW()-4</f>
        <v>46238</v>
      </c>
      <c r="B12" s="107">
        <f>_xlfn.ISOWEEKNUM(Dagslogg[[#This Row],[Dato]])</f>
        <v>32</v>
      </c>
      <c r="C12" s="107" t="str">
        <f>TEXT(Dagslogg[[#This Row],[Dato]],"ddd")</f>
        <v>tir</v>
      </c>
      <c r="D12" s="103"/>
      <c r="E12" s="104"/>
      <c r="F12" s="105"/>
      <c r="G12" s="106"/>
    </row>
    <row r="13" spans="1:7" x14ac:dyDescent="0.2">
      <c r="A13" s="55">
        <f>Vekt!$E$4+ROW()-4</f>
        <v>46239</v>
      </c>
      <c r="B13" s="107">
        <f>_xlfn.ISOWEEKNUM(Dagslogg[[#This Row],[Dato]])</f>
        <v>32</v>
      </c>
      <c r="C13" s="107" t="str">
        <f>TEXT(Dagslogg[[#This Row],[Dato]],"ddd")</f>
        <v>ons</v>
      </c>
      <c r="D13" s="103"/>
      <c r="E13" s="104"/>
      <c r="F13" s="105"/>
      <c r="G13" s="106"/>
    </row>
    <row r="14" spans="1:7" x14ac:dyDescent="0.2">
      <c r="A14" s="55">
        <f>Vekt!$E$4+ROW()-4</f>
        <v>46240</v>
      </c>
      <c r="B14" s="107">
        <f>_xlfn.ISOWEEKNUM(Dagslogg[[#This Row],[Dato]])</f>
        <v>32</v>
      </c>
      <c r="C14" s="107" t="str">
        <f>TEXT(Dagslogg[[#This Row],[Dato]],"ddd")</f>
        <v>tor</v>
      </c>
      <c r="D14" s="103"/>
      <c r="E14" s="104"/>
      <c r="F14" s="105"/>
      <c r="G14" s="106"/>
    </row>
    <row r="15" spans="1:7" x14ac:dyDescent="0.2">
      <c r="A15" s="55">
        <f>Vekt!$E$4+ROW()-4</f>
        <v>46241</v>
      </c>
      <c r="B15" s="107">
        <f>_xlfn.ISOWEEKNUM(Dagslogg[[#This Row],[Dato]])</f>
        <v>32</v>
      </c>
      <c r="C15" s="107" t="str">
        <f>TEXT(Dagslogg[[#This Row],[Dato]],"ddd")</f>
        <v>fre</v>
      </c>
      <c r="D15" s="103"/>
      <c r="E15" s="104"/>
      <c r="F15" s="105"/>
      <c r="G15" s="106"/>
    </row>
    <row r="16" spans="1:7" x14ac:dyDescent="0.2">
      <c r="A16" s="55">
        <f>Vekt!$E$4+ROW()-4</f>
        <v>46242</v>
      </c>
      <c r="B16" s="107">
        <f>_xlfn.ISOWEEKNUM(Dagslogg[[#This Row],[Dato]])</f>
        <v>32</v>
      </c>
      <c r="C16" s="107" t="str">
        <f>TEXT(Dagslogg[[#This Row],[Dato]],"ddd")</f>
        <v>lør</v>
      </c>
      <c r="D16" s="103"/>
      <c r="E16" s="104"/>
      <c r="F16" s="105"/>
      <c r="G16" s="106"/>
    </row>
    <row r="17" spans="1:7" x14ac:dyDescent="0.2">
      <c r="A17" s="55">
        <f>Vekt!$E$4+ROW()-4</f>
        <v>46243</v>
      </c>
      <c r="B17" s="107">
        <f>_xlfn.ISOWEEKNUM(Dagslogg[[#This Row],[Dato]])</f>
        <v>32</v>
      </c>
      <c r="C17" s="107" t="str">
        <f>TEXT(Dagslogg[[#This Row],[Dato]],"ddd")</f>
        <v>søn</v>
      </c>
      <c r="D17" s="103"/>
      <c r="E17" s="104"/>
      <c r="F17" s="105"/>
      <c r="G17" s="106"/>
    </row>
    <row r="18" spans="1:7" x14ac:dyDescent="0.2">
      <c r="A18" s="55">
        <f>Vekt!$E$4+ROW()-4</f>
        <v>46244</v>
      </c>
      <c r="B18" s="107">
        <f>_xlfn.ISOWEEKNUM(Dagslogg[[#This Row],[Dato]])</f>
        <v>33</v>
      </c>
      <c r="C18" s="107" t="str">
        <f>TEXT(Dagslogg[[#This Row],[Dato]],"ddd")</f>
        <v>man</v>
      </c>
      <c r="D18" s="103"/>
      <c r="E18" s="104"/>
      <c r="F18" s="105"/>
      <c r="G18" s="106"/>
    </row>
    <row r="19" spans="1:7" x14ac:dyDescent="0.2">
      <c r="A19" s="55">
        <f>Vekt!$E$4+ROW()-4</f>
        <v>46245</v>
      </c>
      <c r="B19" s="107">
        <f>_xlfn.ISOWEEKNUM(Dagslogg[[#This Row],[Dato]])</f>
        <v>33</v>
      </c>
      <c r="C19" s="107" t="str">
        <f>TEXT(Dagslogg[[#This Row],[Dato]],"ddd")</f>
        <v>tir</v>
      </c>
      <c r="D19" s="103"/>
      <c r="E19" s="104"/>
      <c r="F19" s="105"/>
      <c r="G19" s="106"/>
    </row>
    <row r="20" spans="1:7" x14ac:dyDescent="0.2">
      <c r="A20" s="55">
        <f>Vekt!$E$4+ROW()-4</f>
        <v>46246</v>
      </c>
      <c r="B20" s="107">
        <f>_xlfn.ISOWEEKNUM(Dagslogg[[#This Row],[Dato]])</f>
        <v>33</v>
      </c>
      <c r="C20" s="107" t="str">
        <f>TEXT(Dagslogg[[#This Row],[Dato]],"ddd")</f>
        <v>ons</v>
      </c>
      <c r="D20" s="103"/>
      <c r="E20" s="104"/>
      <c r="F20" s="105"/>
      <c r="G20" s="106"/>
    </row>
    <row r="21" spans="1:7" x14ac:dyDescent="0.2">
      <c r="A21" s="55">
        <f>Vekt!$E$4+ROW()-4</f>
        <v>46247</v>
      </c>
      <c r="B21" s="107">
        <f>_xlfn.ISOWEEKNUM(Dagslogg[[#This Row],[Dato]])</f>
        <v>33</v>
      </c>
      <c r="C21" s="107" t="str">
        <f>TEXT(Dagslogg[[#This Row],[Dato]],"ddd")</f>
        <v>tor</v>
      </c>
      <c r="D21" s="103"/>
      <c r="E21" s="104"/>
      <c r="F21" s="105"/>
      <c r="G21" s="106"/>
    </row>
    <row r="22" spans="1:7" x14ac:dyDescent="0.2">
      <c r="A22" s="55">
        <f>Vekt!$E$4+ROW()-4</f>
        <v>46248</v>
      </c>
      <c r="B22" s="107">
        <f>_xlfn.ISOWEEKNUM(Dagslogg[[#This Row],[Dato]])</f>
        <v>33</v>
      </c>
      <c r="C22" s="107" t="str">
        <f>TEXT(Dagslogg[[#This Row],[Dato]],"ddd")</f>
        <v>fre</v>
      </c>
      <c r="D22" s="103"/>
      <c r="E22" s="104"/>
      <c r="F22" s="105"/>
      <c r="G22" s="106"/>
    </row>
    <row r="23" spans="1:7" x14ac:dyDescent="0.2">
      <c r="A23" s="55">
        <f>Vekt!$E$4+ROW()-4</f>
        <v>46249</v>
      </c>
      <c r="B23" s="107">
        <f>_xlfn.ISOWEEKNUM(Dagslogg[[#This Row],[Dato]])</f>
        <v>33</v>
      </c>
      <c r="C23" s="107" t="str">
        <f>TEXT(Dagslogg[[#This Row],[Dato]],"ddd")</f>
        <v>lør</v>
      </c>
      <c r="D23" s="103"/>
      <c r="E23" s="104"/>
      <c r="F23" s="105"/>
      <c r="G23" s="106"/>
    </row>
    <row r="24" spans="1:7" x14ac:dyDescent="0.2">
      <c r="A24" s="55">
        <f>Vekt!$E$4+ROW()-4</f>
        <v>46250</v>
      </c>
      <c r="B24" s="107">
        <f>_xlfn.ISOWEEKNUM(Dagslogg[[#This Row],[Dato]])</f>
        <v>33</v>
      </c>
      <c r="C24" s="107" t="str">
        <f>TEXT(Dagslogg[[#This Row],[Dato]],"ddd")</f>
        <v>søn</v>
      </c>
      <c r="D24" s="103"/>
      <c r="E24" s="104"/>
      <c r="F24" s="105"/>
      <c r="G24" s="106"/>
    </row>
    <row r="25" spans="1:7" x14ac:dyDescent="0.2">
      <c r="A25" s="55">
        <f>Vekt!$E$4+ROW()-4</f>
        <v>46251</v>
      </c>
      <c r="B25" s="107">
        <f>_xlfn.ISOWEEKNUM(Dagslogg[[#This Row],[Dato]])</f>
        <v>34</v>
      </c>
      <c r="C25" s="107" t="str">
        <f>TEXT(Dagslogg[[#This Row],[Dato]],"ddd")</f>
        <v>man</v>
      </c>
      <c r="D25" s="103"/>
      <c r="E25" s="104"/>
      <c r="F25" s="105"/>
      <c r="G25" s="106"/>
    </row>
    <row r="26" spans="1:7" x14ac:dyDescent="0.2">
      <c r="A26" s="55">
        <f>Vekt!$E$4+ROW()-4</f>
        <v>46252</v>
      </c>
      <c r="B26" s="107">
        <f>_xlfn.ISOWEEKNUM(Dagslogg[[#This Row],[Dato]])</f>
        <v>34</v>
      </c>
      <c r="C26" s="107" t="str">
        <f>TEXT(Dagslogg[[#This Row],[Dato]],"ddd")</f>
        <v>tir</v>
      </c>
      <c r="D26" s="103"/>
      <c r="E26" s="104"/>
      <c r="F26" s="105"/>
      <c r="G26" s="106"/>
    </row>
    <row r="27" spans="1:7" x14ac:dyDescent="0.2">
      <c r="A27" s="55">
        <f>Vekt!$E$4+ROW()-4</f>
        <v>46253</v>
      </c>
      <c r="B27" s="107">
        <f>_xlfn.ISOWEEKNUM(Dagslogg[[#This Row],[Dato]])</f>
        <v>34</v>
      </c>
      <c r="C27" s="107" t="str">
        <f>TEXT(Dagslogg[[#This Row],[Dato]],"ddd")</f>
        <v>ons</v>
      </c>
      <c r="D27" s="103"/>
      <c r="E27" s="104"/>
      <c r="F27" s="105"/>
      <c r="G27" s="106"/>
    </row>
    <row r="28" spans="1:7" x14ac:dyDescent="0.2">
      <c r="A28" s="55">
        <f>Vekt!$E$4+ROW()-4</f>
        <v>46254</v>
      </c>
      <c r="B28" s="107">
        <f>_xlfn.ISOWEEKNUM(Dagslogg[[#This Row],[Dato]])</f>
        <v>34</v>
      </c>
      <c r="C28" s="107" t="str">
        <f>TEXT(Dagslogg[[#This Row],[Dato]],"ddd")</f>
        <v>tor</v>
      </c>
      <c r="D28" s="103"/>
      <c r="E28" s="104"/>
      <c r="F28" s="105"/>
      <c r="G28" s="106"/>
    </row>
    <row r="29" spans="1:7" x14ac:dyDescent="0.2">
      <c r="A29" s="55">
        <f>Vekt!$E$4+ROW()-4</f>
        <v>46255</v>
      </c>
      <c r="B29" s="107">
        <f>_xlfn.ISOWEEKNUM(Dagslogg[[#This Row],[Dato]])</f>
        <v>34</v>
      </c>
      <c r="C29" s="107" t="str">
        <f>TEXT(Dagslogg[[#This Row],[Dato]],"ddd")</f>
        <v>fre</v>
      </c>
      <c r="D29" s="103"/>
      <c r="E29" s="104"/>
      <c r="F29" s="105"/>
      <c r="G29" s="106"/>
    </row>
    <row r="30" spans="1:7" x14ac:dyDescent="0.2">
      <c r="A30" s="55">
        <f>Vekt!$E$4+ROW()-4</f>
        <v>46256</v>
      </c>
      <c r="B30" s="107">
        <f>_xlfn.ISOWEEKNUM(Dagslogg[[#This Row],[Dato]])</f>
        <v>34</v>
      </c>
      <c r="C30" s="107" t="str">
        <f>TEXT(Dagslogg[[#This Row],[Dato]],"ddd")</f>
        <v>lør</v>
      </c>
      <c r="D30" s="103"/>
      <c r="E30" s="104"/>
      <c r="F30" s="105"/>
      <c r="G30" s="106"/>
    </row>
    <row r="31" spans="1:7" x14ac:dyDescent="0.2">
      <c r="A31" s="55">
        <f>Vekt!$E$4+ROW()-4</f>
        <v>46257</v>
      </c>
      <c r="B31" s="107">
        <f>_xlfn.ISOWEEKNUM(Dagslogg[[#This Row],[Dato]])</f>
        <v>34</v>
      </c>
      <c r="C31" s="107" t="str">
        <f>TEXT(Dagslogg[[#This Row],[Dato]],"ddd")</f>
        <v>søn</v>
      </c>
      <c r="D31" s="103"/>
      <c r="E31" s="104"/>
      <c r="F31" s="105"/>
      <c r="G31" s="106"/>
    </row>
    <row r="32" spans="1:7" x14ac:dyDescent="0.2">
      <c r="A32" s="55">
        <f>Vekt!$E$4+ROW()-4</f>
        <v>46258</v>
      </c>
      <c r="B32" s="107">
        <f>_xlfn.ISOWEEKNUM(Dagslogg[[#This Row],[Dato]])</f>
        <v>35</v>
      </c>
      <c r="C32" s="107" t="str">
        <f>TEXT(Dagslogg[[#This Row],[Dato]],"ddd")</f>
        <v>man</v>
      </c>
      <c r="D32" s="103"/>
      <c r="E32" s="104"/>
      <c r="F32" s="105"/>
      <c r="G32" s="106"/>
    </row>
    <row r="33" spans="1:7" x14ac:dyDescent="0.2">
      <c r="A33" s="55">
        <f>Vekt!$E$4+ROW()-4</f>
        <v>46259</v>
      </c>
      <c r="B33" s="107">
        <f>_xlfn.ISOWEEKNUM(Dagslogg[[#This Row],[Dato]])</f>
        <v>35</v>
      </c>
      <c r="C33" s="107" t="str">
        <f>TEXT(Dagslogg[[#This Row],[Dato]],"ddd")</f>
        <v>tir</v>
      </c>
      <c r="D33" s="103"/>
      <c r="E33" s="104"/>
      <c r="F33" s="105"/>
      <c r="G33" s="106"/>
    </row>
    <row r="34" spans="1:7" x14ac:dyDescent="0.2">
      <c r="A34" s="55">
        <f>Vekt!$E$4+ROW()-4</f>
        <v>46260</v>
      </c>
      <c r="B34" s="107">
        <f>_xlfn.ISOWEEKNUM(Dagslogg[[#This Row],[Dato]])</f>
        <v>35</v>
      </c>
      <c r="C34" s="107" t="str">
        <f>TEXT(Dagslogg[[#This Row],[Dato]],"ddd")</f>
        <v>ons</v>
      </c>
      <c r="D34" s="103"/>
      <c r="E34" s="104"/>
      <c r="F34" s="105"/>
      <c r="G34" s="106"/>
    </row>
    <row r="35" spans="1:7" x14ac:dyDescent="0.2">
      <c r="A35" s="55">
        <f>Vekt!$E$4+ROW()-4</f>
        <v>46261</v>
      </c>
      <c r="B35" s="107">
        <f>_xlfn.ISOWEEKNUM(Dagslogg[[#This Row],[Dato]])</f>
        <v>35</v>
      </c>
      <c r="C35" s="107" t="str">
        <f>TEXT(Dagslogg[[#This Row],[Dato]],"ddd")</f>
        <v>tor</v>
      </c>
      <c r="D35" s="103"/>
      <c r="E35" s="104"/>
      <c r="F35" s="105"/>
      <c r="G35" s="106"/>
    </row>
    <row r="36" spans="1:7" x14ac:dyDescent="0.2">
      <c r="A36" s="55">
        <f>Vekt!$E$4+ROW()-4</f>
        <v>46262</v>
      </c>
      <c r="B36" s="107">
        <f>_xlfn.ISOWEEKNUM(Dagslogg[[#This Row],[Dato]])</f>
        <v>35</v>
      </c>
      <c r="C36" s="107" t="str">
        <f>TEXT(Dagslogg[[#This Row],[Dato]],"ddd")</f>
        <v>fre</v>
      </c>
      <c r="D36" s="103"/>
      <c r="E36" s="104"/>
      <c r="F36" s="105"/>
      <c r="G36" s="106"/>
    </row>
    <row r="37" spans="1:7" x14ac:dyDescent="0.2">
      <c r="A37" s="55">
        <f>Vekt!$E$4+ROW()-4</f>
        <v>46263</v>
      </c>
      <c r="B37" s="107">
        <f>_xlfn.ISOWEEKNUM(Dagslogg[[#This Row],[Dato]])</f>
        <v>35</v>
      </c>
      <c r="C37" s="107" t="str">
        <f>TEXT(Dagslogg[[#This Row],[Dato]],"ddd")</f>
        <v>lør</v>
      </c>
      <c r="D37" s="103"/>
      <c r="E37" s="104"/>
      <c r="F37" s="105"/>
      <c r="G37" s="106"/>
    </row>
    <row r="38" spans="1:7" x14ac:dyDescent="0.2">
      <c r="A38" s="55">
        <f>Vekt!$E$4+ROW()-4</f>
        <v>46264</v>
      </c>
      <c r="B38" s="107">
        <f>_xlfn.ISOWEEKNUM(Dagslogg[[#This Row],[Dato]])</f>
        <v>35</v>
      </c>
      <c r="C38" s="107" t="str">
        <f>TEXT(Dagslogg[[#This Row],[Dato]],"ddd")</f>
        <v>søn</v>
      </c>
      <c r="D38" s="103"/>
      <c r="E38" s="104"/>
      <c r="F38" s="105"/>
      <c r="G38" s="106"/>
    </row>
    <row r="39" spans="1:7" x14ac:dyDescent="0.2">
      <c r="A39" s="55">
        <f>Vekt!$E$4+ROW()-4</f>
        <v>46265</v>
      </c>
      <c r="B39" s="107">
        <f>_xlfn.ISOWEEKNUM(Dagslogg[[#This Row],[Dato]])</f>
        <v>36</v>
      </c>
      <c r="C39" s="107" t="str">
        <f>TEXT(Dagslogg[[#This Row],[Dato]],"ddd")</f>
        <v>man</v>
      </c>
      <c r="D39" s="103"/>
      <c r="E39" s="104"/>
      <c r="F39" s="105"/>
      <c r="G39" s="106"/>
    </row>
    <row r="40" spans="1:7" x14ac:dyDescent="0.2">
      <c r="A40" s="55">
        <f>Vekt!$E$4+ROW()-4</f>
        <v>46266</v>
      </c>
      <c r="B40" s="107">
        <f>_xlfn.ISOWEEKNUM(Dagslogg[[#This Row],[Dato]])</f>
        <v>36</v>
      </c>
      <c r="C40" s="107" t="str">
        <f>TEXT(Dagslogg[[#This Row],[Dato]],"ddd")</f>
        <v>tir</v>
      </c>
      <c r="D40" s="103"/>
      <c r="E40" s="104"/>
      <c r="F40" s="105"/>
      <c r="G40" s="106"/>
    </row>
    <row r="41" spans="1:7" x14ac:dyDescent="0.2">
      <c r="A41" s="55">
        <f>Vekt!$E$4+ROW()-4</f>
        <v>46267</v>
      </c>
      <c r="B41" s="107">
        <f>_xlfn.ISOWEEKNUM(Dagslogg[[#This Row],[Dato]])</f>
        <v>36</v>
      </c>
      <c r="C41" s="107" t="str">
        <f>TEXT(Dagslogg[[#This Row],[Dato]],"ddd")</f>
        <v>ons</v>
      </c>
      <c r="D41" s="103"/>
      <c r="E41" s="104"/>
      <c r="F41" s="105"/>
      <c r="G41" s="106"/>
    </row>
    <row r="42" spans="1:7" x14ac:dyDescent="0.2">
      <c r="A42" s="55">
        <f>Vekt!$E$4+ROW()-4</f>
        <v>46268</v>
      </c>
      <c r="B42" s="107">
        <f>_xlfn.ISOWEEKNUM(Dagslogg[[#This Row],[Dato]])</f>
        <v>36</v>
      </c>
      <c r="C42" s="107" t="str">
        <f>TEXT(Dagslogg[[#This Row],[Dato]],"ddd")</f>
        <v>tor</v>
      </c>
      <c r="D42" s="103"/>
      <c r="E42" s="104"/>
      <c r="F42" s="105"/>
      <c r="G42" s="106"/>
    </row>
    <row r="43" spans="1:7" x14ac:dyDescent="0.2">
      <c r="A43" s="55">
        <f>Vekt!$E$4+ROW()-4</f>
        <v>46269</v>
      </c>
      <c r="B43" s="107">
        <f>_xlfn.ISOWEEKNUM(Dagslogg[[#This Row],[Dato]])</f>
        <v>36</v>
      </c>
      <c r="C43" s="107" t="str">
        <f>TEXT(Dagslogg[[#This Row],[Dato]],"ddd")</f>
        <v>fre</v>
      </c>
      <c r="D43" s="103"/>
      <c r="E43" s="104"/>
      <c r="F43" s="105"/>
      <c r="G43" s="106"/>
    </row>
    <row r="44" spans="1:7" x14ac:dyDescent="0.2">
      <c r="A44" s="55">
        <f>Vekt!$E$4+ROW()-4</f>
        <v>46270</v>
      </c>
      <c r="B44" s="107">
        <f>_xlfn.ISOWEEKNUM(Dagslogg[[#This Row],[Dato]])</f>
        <v>36</v>
      </c>
      <c r="C44" s="107" t="str">
        <f>TEXT(Dagslogg[[#This Row],[Dato]],"ddd")</f>
        <v>lør</v>
      </c>
      <c r="D44" s="103"/>
      <c r="E44" s="104"/>
      <c r="F44" s="105"/>
      <c r="G44" s="106"/>
    </row>
    <row r="45" spans="1:7" x14ac:dyDescent="0.2">
      <c r="A45" s="55">
        <f>Vekt!$E$4+ROW()-4</f>
        <v>46271</v>
      </c>
      <c r="B45" s="107">
        <f>_xlfn.ISOWEEKNUM(Dagslogg[[#This Row],[Dato]])</f>
        <v>36</v>
      </c>
      <c r="C45" s="107" t="str">
        <f>TEXT(Dagslogg[[#This Row],[Dato]],"ddd")</f>
        <v>søn</v>
      </c>
      <c r="D45" s="103"/>
      <c r="E45" s="104"/>
      <c r="F45" s="105"/>
      <c r="G45" s="106"/>
    </row>
    <row r="46" spans="1:7" x14ac:dyDescent="0.2">
      <c r="A46" s="55">
        <f>Vekt!$E$4+ROW()-4</f>
        <v>46272</v>
      </c>
      <c r="B46" s="107">
        <f>_xlfn.ISOWEEKNUM(Dagslogg[[#This Row],[Dato]])</f>
        <v>37</v>
      </c>
      <c r="C46" s="107" t="str">
        <f>TEXT(Dagslogg[[#This Row],[Dato]],"ddd")</f>
        <v>man</v>
      </c>
      <c r="D46" s="103"/>
      <c r="E46" s="104"/>
      <c r="F46" s="105"/>
      <c r="G46" s="106"/>
    </row>
    <row r="47" spans="1:7" x14ac:dyDescent="0.2">
      <c r="A47" s="55">
        <f>Vekt!$E$4+ROW()-4</f>
        <v>46273</v>
      </c>
      <c r="B47" s="107">
        <f>_xlfn.ISOWEEKNUM(Dagslogg[[#This Row],[Dato]])</f>
        <v>37</v>
      </c>
      <c r="C47" s="107" t="str">
        <f>TEXT(Dagslogg[[#This Row],[Dato]],"ddd")</f>
        <v>tir</v>
      </c>
      <c r="D47" s="103"/>
      <c r="E47" s="104"/>
      <c r="F47" s="105"/>
      <c r="G47" s="106"/>
    </row>
    <row r="48" spans="1:7" x14ac:dyDescent="0.2">
      <c r="A48" s="55">
        <f>Vekt!$E$4+ROW()-4</f>
        <v>46274</v>
      </c>
      <c r="B48" s="107">
        <f>_xlfn.ISOWEEKNUM(Dagslogg[[#This Row],[Dato]])</f>
        <v>37</v>
      </c>
      <c r="C48" s="107" t="str">
        <f>TEXT(Dagslogg[[#This Row],[Dato]],"ddd")</f>
        <v>ons</v>
      </c>
      <c r="D48" s="103"/>
      <c r="E48" s="104"/>
      <c r="F48" s="105"/>
      <c r="G48" s="106"/>
    </row>
    <row r="49" spans="1:7" x14ac:dyDescent="0.2">
      <c r="A49" s="55">
        <f>Vekt!$E$4+ROW()-4</f>
        <v>46275</v>
      </c>
      <c r="B49" s="107">
        <f>_xlfn.ISOWEEKNUM(Dagslogg[[#This Row],[Dato]])</f>
        <v>37</v>
      </c>
      <c r="C49" s="107" t="str">
        <f>TEXT(Dagslogg[[#This Row],[Dato]],"ddd")</f>
        <v>tor</v>
      </c>
      <c r="D49" s="103"/>
      <c r="E49" s="104"/>
      <c r="F49" s="105"/>
      <c r="G49" s="106"/>
    </row>
    <row r="50" spans="1:7" x14ac:dyDescent="0.2">
      <c r="A50" s="55">
        <f>Vekt!$E$4+ROW()-4</f>
        <v>46276</v>
      </c>
      <c r="B50" s="107">
        <f>_xlfn.ISOWEEKNUM(Dagslogg[[#This Row],[Dato]])</f>
        <v>37</v>
      </c>
      <c r="C50" s="107" t="str">
        <f>TEXT(Dagslogg[[#This Row],[Dato]],"ddd")</f>
        <v>fre</v>
      </c>
      <c r="D50" s="103"/>
      <c r="E50" s="104"/>
      <c r="F50" s="105"/>
      <c r="G50" s="106"/>
    </row>
    <row r="51" spans="1:7" x14ac:dyDescent="0.2">
      <c r="A51" s="55">
        <f>Vekt!$E$4+ROW()-4</f>
        <v>46277</v>
      </c>
      <c r="B51" s="107">
        <f>_xlfn.ISOWEEKNUM(Dagslogg[[#This Row],[Dato]])</f>
        <v>37</v>
      </c>
      <c r="C51" s="107" t="str">
        <f>TEXT(Dagslogg[[#This Row],[Dato]],"ddd")</f>
        <v>lør</v>
      </c>
      <c r="D51" s="103"/>
      <c r="E51" s="104"/>
      <c r="F51" s="105"/>
      <c r="G51" s="106"/>
    </row>
    <row r="52" spans="1:7" x14ac:dyDescent="0.2">
      <c r="A52" s="55">
        <f>Vekt!$E$4+ROW()-4</f>
        <v>46278</v>
      </c>
      <c r="B52" s="107">
        <f>_xlfn.ISOWEEKNUM(Dagslogg[[#This Row],[Dato]])</f>
        <v>37</v>
      </c>
      <c r="C52" s="107" t="str">
        <f>TEXT(Dagslogg[[#This Row],[Dato]],"ddd")</f>
        <v>søn</v>
      </c>
      <c r="D52" s="103"/>
      <c r="E52" s="104"/>
      <c r="F52" s="105"/>
      <c r="G52" s="106"/>
    </row>
    <row r="53" spans="1:7" x14ac:dyDescent="0.2">
      <c r="A53" s="55">
        <f>Vekt!$E$4+ROW()-4</f>
        <v>46279</v>
      </c>
      <c r="B53" s="107">
        <f>_xlfn.ISOWEEKNUM(Dagslogg[[#This Row],[Dato]])</f>
        <v>38</v>
      </c>
      <c r="C53" s="107" t="str">
        <f>TEXT(Dagslogg[[#This Row],[Dato]],"ddd")</f>
        <v>man</v>
      </c>
      <c r="D53" s="103"/>
      <c r="E53" s="104"/>
      <c r="F53" s="105"/>
      <c r="G53" s="106"/>
    </row>
    <row r="54" spans="1:7" x14ac:dyDescent="0.2">
      <c r="A54" s="55">
        <f>Vekt!$E$4+ROW()-4</f>
        <v>46280</v>
      </c>
      <c r="B54" s="107">
        <f>_xlfn.ISOWEEKNUM(Dagslogg[[#This Row],[Dato]])</f>
        <v>38</v>
      </c>
      <c r="C54" s="107" t="str">
        <f>TEXT(Dagslogg[[#This Row],[Dato]],"ddd")</f>
        <v>tir</v>
      </c>
      <c r="D54" s="103"/>
      <c r="E54" s="104"/>
      <c r="F54" s="105"/>
      <c r="G54" s="106"/>
    </row>
    <row r="55" spans="1:7" x14ac:dyDescent="0.2">
      <c r="A55" s="55">
        <f>Vekt!$E$4+ROW()-4</f>
        <v>46281</v>
      </c>
      <c r="B55" s="107">
        <f>_xlfn.ISOWEEKNUM(Dagslogg[[#This Row],[Dato]])</f>
        <v>38</v>
      </c>
      <c r="C55" s="107" t="str">
        <f>TEXT(Dagslogg[[#This Row],[Dato]],"ddd")</f>
        <v>ons</v>
      </c>
      <c r="D55" s="103"/>
      <c r="E55" s="104"/>
      <c r="F55" s="105"/>
      <c r="G55" s="106"/>
    </row>
    <row r="56" spans="1:7" x14ac:dyDescent="0.2">
      <c r="A56" s="55">
        <f>Vekt!$E$4+ROW()-4</f>
        <v>46282</v>
      </c>
      <c r="B56" s="107">
        <f>_xlfn.ISOWEEKNUM(Dagslogg[[#This Row],[Dato]])</f>
        <v>38</v>
      </c>
      <c r="C56" s="107" t="str">
        <f>TEXT(Dagslogg[[#This Row],[Dato]],"ddd")</f>
        <v>tor</v>
      </c>
      <c r="D56" s="103"/>
      <c r="E56" s="104"/>
      <c r="F56" s="105"/>
      <c r="G56" s="106"/>
    </row>
    <row r="57" spans="1:7" x14ac:dyDescent="0.2">
      <c r="A57" s="55">
        <f>Vekt!$E$4+ROW()-4</f>
        <v>46283</v>
      </c>
      <c r="B57" s="107">
        <f>_xlfn.ISOWEEKNUM(Dagslogg[[#This Row],[Dato]])</f>
        <v>38</v>
      </c>
      <c r="C57" s="107" t="str">
        <f>TEXT(Dagslogg[[#This Row],[Dato]],"ddd")</f>
        <v>fre</v>
      </c>
      <c r="D57" s="103"/>
      <c r="E57" s="104"/>
      <c r="F57" s="105"/>
      <c r="G57" s="106"/>
    </row>
    <row r="58" spans="1:7" x14ac:dyDescent="0.2">
      <c r="A58" s="55">
        <f>Vekt!$E$4+ROW()-4</f>
        <v>46284</v>
      </c>
      <c r="B58" s="107">
        <f>_xlfn.ISOWEEKNUM(Dagslogg[[#This Row],[Dato]])</f>
        <v>38</v>
      </c>
      <c r="C58" s="107" t="str">
        <f>TEXT(Dagslogg[[#This Row],[Dato]],"ddd")</f>
        <v>lør</v>
      </c>
      <c r="D58" s="103"/>
      <c r="E58" s="104"/>
      <c r="F58" s="105"/>
      <c r="G58" s="106"/>
    </row>
    <row r="59" spans="1:7" x14ac:dyDescent="0.2">
      <c r="A59" s="55">
        <f>Vekt!$E$4+ROW()-4</f>
        <v>46285</v>
      </c>
      <c r="B59" s="107">
        <f>_xlfn.ISOWEEKNUM(Dagslogg[[#This Row],[Dato]])</f>
        <v>38</v>
      </c>
      <c r="C59" s="107" t="str">
        <f>TEXT(Dagslogg[[#This Row],[Dato]],"ddd")</f>
        <v>søn</v>
      </c>
      <c r="D59" s="103"/>
      <c r="E59" s="104"/>
      <c r="F59" s="105"/>
      <c r="G59" s="106"/>
    </row>
    <row r="60" spans="1:7" x14ac:dyDescent="0.2">
      <c r="A60" s="55">
        <f>Vekt!$E$4+ROW()-4</f>
        <v>46286</v>
      </c>
      <c r="B60" s="107">
        <f>_xlfn.ISOWEEKNUM(Dagslogg[[#This Row],[Dato]])</f>
        <v>39</v>
      </c>
      <c r="C60" s="107" t="str">
        <f>TEXT(Dagslogg[[#This Row],[Dato]],"ddd")</f>
        <v>man</v>
      </c>
      <c r="D60" s="103"/>
      <c r="E60" s="104"/>
      <c r="F60" s="105"/>
      <c r="G60" s="106"/>
    </row>
    <row r="61" spans="1:7" x14ac:dyDescent="0.2">
      <c r="A61" s="55">
        <f>Vekt!$E$4+ROW()-4</f>
        <v>46287</v>
      </c>
      <c r="B61" s="107">
        <f>_xlfn.ISOWEEKNUM(Dagslogg[[#This Row],[Dato]])</f>
        <v>39</v>
      </c>
      <c r="C61" s="107" t="str">
        <f>TEXT(Dagslogg[[#This Row],[Dato]],"ddd")</f>
        <v>tir</v>
      </c>
      <c r="D61" s="103"/>
      <c r="E61" s="104"/>
      <c r="F61" s="105"/>
      <c r="G61" s="106"/>
    </row>
    <row r="62" spans="1:7" x14ac:dyDescent="0.2">
      <c r="A62" s="55">
        <f>Vekt!$E$4+ROW()-4</f>
        <v>46288</v>
      </c>
      <c r="B62" s="107">
        <f>_xlfn.ISOWEEKNUM(Dagslogg[[#This Row],[Dato]])</f>
        <v>39</v>
      </c>
      <c r="C62" s="107" t="str">
        <f>TEXT(Dagslogg[[#This Row],[Dato]],"ddd")</f>
        <v>ons</v>
      </c>
      <c r="D62" s="103"/>
      <c r="E62" s="104"/>
      <c r="F62" s="105"/>
      <c r="G62" s="106"/>
    </row>
    <row r="63" spans="1:7" x14ac:dyDescent="0.2">
      <c r="A63" s="55">
        <f>Vekt!$E$4+ROW()-4</f>
        <v>46289</v>
      </c>
      <c r="B63" s="107">
        <f>_xlfn.ISOWEEKNUM(Dagslogg[[#This Row],[Dato]])</f>
        <v>39</v>
      </c>
      <c r="C63" s="107" t="str">
        <f>TEXT(Dagslogg[[#This Row],[Dato]],"ddd")</f>
        <v>tor</v>
      </c>
      <c r="D63" s="103"/>
      <c r="E63" s="104"/>
      <c r="F63" s="105"/>
      <c r="G63" s="106"/>
    </row>
    <row r="64" spans="1:7" x14ac:dyDescent="0.2">
      <c r="A64" s="55">
        <f>Vekt!$E$4+ROW()-4</f>
        <v>46290</v>
      </c>
      <c r="B64" s="107">
        <f>_xlfn.ISOWEEKNUM(Dagslogg[[#This Row],[Dato]])</f>
        <v>39</v>
      </c>
      <c r="C64" s="107" t="str">
        <f>TEXT(Dagslogg[[#This Row],[Dato]],"ddd")</f>
        <v>fre</v>
      </c>
      <c r="D64" s="103"/>
      <c r="E64" s="104"/>
      <c r="F64" s="105"/>
      <c r="G64" s="106"/>
    </row>
    <row r="65" spans="1:7" x14ac:dyDescent="0.2">
      <c r="A65" s="55">
        <f>Vekt!$E$4+ROW()-4</f>
        <v>46291</v>
      </c>
      <c r="B65" s="107">
        <f>_xlfn.ISOWEEKNUM(Dagslogg[[#This Row],[Dato]])</f>
        <v>39</v>
      </c>
      <c r="C65" s="107" t="str">
        <f>TEXT(Dagslogg[[#This Row],[Dato]],"ddd")</f>
        <v>lør</v>
      </c>
      <c r="D65" s="103"/>
      <c r="E65" s="104"/>
      <c r="F65" s="105"/>
      <c r="G65" s="106"/>
    </row>
    <row r="66" spans="1:7" x14ac:dyDescent="0.2">
      <c r="A66" s="55">
        <f>Vekt!$E$4+ROW()-4</f>
        <v>46292</v>
      </c>
      <c r="B66" s="107">
        <f>_xlfn.ISOWEEKNUM(Dagslogg[[#This Row],[Dato]])</f>
        <v>39</v>
      </c>
      <c r="C66" s="107" t="str">
        <f>TEXT(Dagslogg[[#This Row],[Dato]],"ddd")</f>
        <v>søn</v>
      </c>
      <c r="D66" s="103"/>
      <c r="E66" s="104"/>
      <c r="F66" s="105"/>
      <c r="G66" s="106"/>
    </row>
    <row r="67" spans="1:7" x14ac:dyDescent="0.2">
      <c r="A67" s="55">
        <f>Vekt!$E$4+ROW()-4</f>
        <v>46293</v>
      </c>
      <c r="B67" s="107">
        <f>_xlfn.ISOWEEKNUM(Dagslogg[[#This Row],[Dato]])</f>
        <v>40</v>
      </c>
      <c r="C67" s="107" t="str">
        <f>TEXT(Dagslogg[[#This Row],[Dato]],"ddd")</f>
        <v>man</v>
      </c>
      <c r="D67" s="103"/>
      <c r="E67" s="104"/>
      <c r="F67" s="105"/>
      <c r="G67" s="106"/>
    </row>
    <row r="68" spans="1:7" x14ac:dyDescent="0.2">
      <c r="A68" s="55">
        <f>Vekt!$E$4+ROW()-4</f>
        <v>46294</v>
      </c>
      <c r="B68" s="107">
        <f>_xlfn.ISOWEEKNUM(Dagslogg[[#This Row],[Dato]])</f>
        <v>40</v>
      </c>
      <c r="C68" s="107" t="str">
        <f>TEXT(Dagslogg[[#This Row],[Dato]],"ddd")</f>
        <v>tir</v>
      </c>
      <c r="D68" s="103"/>
      <c r="E68" s="104"/>
      <c r="F68" s="105"/>
      <c r="G68" s="106"/>
    </row>
    <row r="69" spans="1:7" x14ac:dyDescent="0.2">
      <c r="A69" s="55">
        <f>Vekt!$E$4+ROW()-4</f>
        <v>46295</v>
      </c>
      <c r="B69" s="107">
        <f>_xlfn.ISOWEEKNUM(Dagslogg[[#This Row],[Dato]])</f>
        <v>40</v>
      </c>
      <c r="C69" s="107" t="str">
        <f>TEXT(Dagslogg[[#This Row],[Dato]],"ddd")</f>
        <v>ons</v>
      </c>
      <c r="D69" s="103"/>
      <c r="E69" s="104"/>
      <c r="F69" s="105"/>
      <c r="G69" s="106"/>
    </row>
    <row r="70" spans="1:7" x14ac:dyDescent="0.2">
      <c r="A70" s="55">
        <f>Vekt!$E$4+ROW()-4</f>
        <v>46296</v>
      </c>
      <c r="B70" s="107">
        <f>_xlfn.ISOWEEKNUM(Dagslogg[[#This Row],[Dato]])</f>
        <v>40</v>
      </c>
      <c r="C70" s="107" t="str">
        <f>TEXT(Dagslogg[[#This Row],[Dato]],"ddd")</f>
        <v>tor</v>
      </c>
      <c r="D70" s="103"/>
      <c r="E70" s="104"/>
      <c r="F70" s="105"/>
      <c r="G70" s="106"/>
    </row>
    <row r="71" spans="1:7" x14ac:dyDescent="0.2">
      <c r="A71" s="55">
        <f>Vekt!$E$4+ROW()-4</f>
        <v>46297</v>
      </c>
      <c r="B71" s="107">
        <f>_xlfn.ISOWEEKNUM(Dagslogg[[#This Row],[Dato]])</f>
        <v>40</v>
      </c>
      <c r="C71" s="107" t="str">
        <f>TEXT(Dagslogg[[#This Row],[Dato]],"ddd")</f>
        <v>fre</v>
      </c>
      <c r="D71" s="103"/>
      <c r="E71" s="104"/>
      <c r="F71" s="105"/>
      <c r="G71" s="106"/>
    </row>
    <row r="72" spans="1:7" x14ac:dyDescent="0.2">
      <c r="A72" s="55">
        <f>Vekt!$E$4+ROW()-4</f>
        <v>46298</v>
      </c>
      <c r="B72" s="107">
        <f>_xlfn.ISOWEEKNUM(Dagslogg[[#This Row],[Dato]])</f>
        <v>40</v>
      </c>
      <c r="C72" s="107" t="str">
        <f>TEXT(Dagslogg[[#This Row],[Dato]],"ddd")</f>
        <v>lør</v>
      </c>
      <c r="D72" s="103"/>
      <c r="E72" s="104"/>
      <c r="F72" s="105"/>
      <c r="G72" s="106"/>
    </row>
    <row r="73" spans="1:7" x14ac:dyDescent="0.2">
      <c r="A73" s="55">
        <f>Vekt!$E$4+ROW()-4</f>
        <v>46299</v>
      </c>
      <c r="B73" s="107">
        <f>_xlfn.ISOWEEKNUM(Dagslogg[[#This Row],[Dato]])</f>
        <v>40</v>
      </c>
      <c r="C73" s="107" t="str">
        <f>TEXT(Dagslogg[[#This Row],[Dato]],"ddd")</f>
        <v>søn</v>
      </c>
      <c r="D73" s="103"/>
      <c r="E73" s="104"/>
      <c r="F73" s="105"/>
      <c r="G73" s="106"/>
    </row>
    <row r="74" spans="1:7" x14ac:dyDescent="0.2">
      <c r="A74" s="55">
        <f>Vekt!$E$4+ROW()-4</f>
        <v>46300</v>
      </c>
      <c r="B74" s="107">
        <f>_xlfn.ISOWEEKNUM(Dagslogg[[#This Row],[Dato]])</f>
        <v>41</v>
      </c>
      <c r="C74" s="107" t="str">
        <f>TEXT(Dagslogg[[#This Row],[Dato]],"ddd")</f>
        <v>man</v>
      </c>
      <c r="D74" s="103"/>
      <c r="E74" s="104"/>
      <c r="F74" s="105"/>
      <c r="G74" s="106"/>
    </row>
    <row r="75" spans="1:7" x14ac:dyDescent="0.2">
      <c r="A75" s="55">
        <f>Vekt!$E$4+ROW()-4</f>
        <v>46301</v>
      </c>
      <c r="B75" s="107">
        <f>_xlfn.ISOWEEKNUM(Dagslogg[[#This Row],[Dato]])</f>
        <v>41</v>
      </c>
      <c r="C75" s="107" t="str">
        <f>TEXT(Dagslogg[[#This Row],[Dato]],"ddd")</f>
        <v>tir</v>
      </c>
      <c r="D75" s="103"/>
      <c r="E75" s="104"/>
      <c r="F75" s="105"/>
      <c r="G75" s="106"/>
    </row>
    <row r="76" spans="1:7" x14ac:dyDescent="0.2">
      <c r="A76" s="55">
        <f>Vekt!$E$4+ROW()-4</f>
        <v>46302</v>
      </c>
      <c r="B76" s="107">
        <f>_xlfn.ISOWEEKNUM(Dagslogg[[#This Row],[Dato]])</f>
        <v>41</v>
      </c>
      <c r="C76" s="107" t="str">
        <f>TEXT(Dagslogg[[#This Row],[Dato]],"ddd")</f>
        <v>ons</v>
      </c>
      <c r="D76" s="103"/>
      <c r="E76" s="104"/>
      <c r="F76" s="105"/>
      <c r="G76" s="106"/>
    </row>
    <row r="77" spans="1:7" x14ac:dyDescent="0.2">
      <c r="A77" s="55">
        <f>Vekt!$E$4+ROW()-4</f>
        <v>46303</v>
      </c>
      <c r="B77" s="107">
        <f>_xlfn.ISOWEEKNUM(Dagslogg[[#This Row],[Dato]])</f>
        <v>41</v>
      </c>
      <c r="C77" s="107" t="str">
        <f>TEXT(Dagslogg[[#This Row],[Dato]],"ddd")</f>
        <v>tor</v>
      </c>
      <c r="D77" s="103"/>
      <c r="E77" s="104"/>
      <c r="F77" s="105"/>
      <c r="G77" s="106"/>
    </row>
    <row r="78" spans="1:7" x14ac:dyDescent="0.2">
      <c r="A78" s="55">
        <f>Vekt!$E$4+ROW()-4</f>
        <v>46304</v>
      </c>
      <c r="B78" s="107">
        <f>_xlfn.ISOWEEKNUM(Dagslogg[[#This Row],[Dato]])</f>
        <v>41</v>
      </c>
      <c r="C78" s="107" t="str">
        <f>TEXT(Dagslogg[[#This Row],[Dato]],"ddd")</f>
        <v>fre</v>
      </c>
      <c r="D78" s="103"/>
      <c r="E78" s="104"/>
      <c r="F78" s="105"/>
      <c r="G78" s="106"/>
    </row>
    <row r="79" spans="1:7" x14ac:dyDescent="0.2">
      <c r="A79" s="55">
        <f>Vekt!$E$4+ROW()-4</f>
        <v>46305</v>
      </c>
      <c r="B79" s="107">
        <f>_xlfn.ISOWEEKNUM(Dagslogg[[#This Row],[Dato]])</f>
        <v>41</v>
      </c>
      <c r="C79" s="107" t="str">
        <f>TEXT(Dagslogg[[#This Row],[Dato]],"ddd")</f>
        <v>lør</v>
      </c>
      <c r="D79" s="103"/>
      <c r="E79" s="104"/>
      <c r="F79" s="105"/>
      <c r="G79" s="106"/>
    </row>
    <row r="80" spans="1:7" x14ac:dyDescent="0.2">
      <c r="A80" s="55">
        <f>Vekt!$E$4+ROW()-4</f>
        <v>46306</v>
      </c>
      <c r="B80" s="107">
        <f>_xlfn.ISOWEEKNUM(Dagslogg[[#This Row],[Dato]])</f>
        <v>41</v>
      </c>
      <c r="C80" s="107" t="str">
        <f>TEXT(Dagslogg[[#This Row],[Dato]],"ddd")</f>
        <v>søn</v>
      </c>
      <c r="D80" s="103"/>
      <c r="E80" s="104"/>
      <c r="F80" s="105"/>
      <c r="G80" s="106"/>
    </row>
    <row r="81" spans="1:7" x14ac:dyDescent="0.2">
      <c r="A81" s="55">
        <f>Vekt!$E$4+ROW()-4</f>
        <v>46307</v>
      </c>
      <c r="B81" s="107">
        <f>_xlfn.ISOWEEKNUM(Dagslogg[[#This Row],[Dato]])</f>
        <v>42</v>
      </c>
      <c r="C81" s="107" t="str">
        <f>TEXT(Dagslogg[[#This Row],[Dato]],"ddd")</f>
        <v>man</v>
      </c>
      <c r="D81" s="103"/>
      <c r="E81" s="104"/>
      <c r="F81" s="105"/>
      <c r="G81" s="106"/>
    </row>
    <row r="82" spans="1:7" x14ac:dyDescent="0.2">
      <c r="A82" s="55">
        <f>Vekt!$E$4+ROW()-4</f>
        <v>46308</v>
      </c>
      <c r="B82" s="107">
        <f>_xlfn.ISOWEEKNUM(Dagslogg[[#This Row],[Dato]])</f>
        <v>42</v>
      </c>
      <c r="C82" s="107" t="str">
        <f>TEXT(Dagslogg[[#This Row],[Dato]],"ddd")</f>
        <v>tir</v>
      </c>
      <c r="D82" s="103"/>
      <c r="E82" s="104"/>
      <c r="F82" s="105"/>
      <c r="G82" s="106"/>
    </row>
    <row r="83" spans="1:7" x14ac:dyDescent="0.2">
      <c r="A83" s="55">
        <f>Vekt!$E$4+ROW()-4</f>
        <v>46309</v>
      </c>
      <c r="B83" s="107">
        <f>_xlfn.ISOWEEKNUM(Dagslogg[[#This Row],[Dato]])</f>
        <v>42</v>
      </c>
      <c r="C83" s="107" t="str">
        <f>TEXT(Dagslogg[[#This Row],[Dato]],"ddd")</f>
        <v>ons</v>
      </c>
      <c r="D83" s="103"/>
      <c r="E83" s="104"/>
      <c r="F83" s="105"/>
      <c r="G83" s="106"/>
    </row>
    <row r="84" spans="1:7" x14ac:dyDescent="0.2">
      <c r="A84" s="55">
        <f>Vekt!$E$4+ROW()-4</f>
        <v>46310</v>
      </c>
      <c r="B84" s="107">
        <f>_xlfn.ISOWEEKNUM(Dagslogg[[#This Row],[Dato]])</f>
        <v>42</v>
      </c>
      <c r="C84" s="107" t="str">
        <f>TEXT(Dagslogg[[#This Row],[Dato]],"ddd")</f>
        <v>tor</v>
      </c>
      <c r="D84" s="103"/>
      <c r="E84" s="104"/>
      <c r="F84" s="105"/>
      <c r="G84" s="106"/>
    </row>
    <row r="85" spans="1:7" x14ac:dyDescent="0.2">
      <c r="A85" s="55">
        <f>Vekt!$E$4+ROW()-4</f>
        <v>46311</v>
      </c>
      <c r="B85" s="107">
        <f>_xlfn.ISOWEEKNUM(Dagslogg[[#This Row],[Dato]])</f>
        <v>42</v>
      </c>
      <c r="C85" s="107" t="str">
        <f>TEXT(Dagslogg[[#This Row],[Dato]],"ddd")</f>
        <v>fre</v>
      </c>
      <c r="D85" s="103"/>
      <c r="E85" s="104"/>
      <c r="F85" s="105"/>
      <c r="G85" s="106"/>
    </row>
    <row r="86" spans="1:7" x14ac:dyDescent="0.2">
      <c r="A86" s="55">
        <f>Vekt!$E$4+ROW()-4</f>
        <v>46312</v>
      </c>
      <c r="B86" s="107">
        <f>_xlfn.ISOWEEKNUM(Dagslogg[[#This Row],[Dato]])</f>
        <v>42</v>
      </c>
      <c r="C86" s="107" t="str">
        <f>TEXT(Dagslogg[[#This Row],[Dato]],"ddd")</f>
        <v>lør</v>
      </c>
      <c r="D86" s="103"/>
      <c r="E86" s="104"/>
      <c r="F86" s="105"/>
      <c r="G86" s="106"/>
    </row>
    <row r="87" spans="1:7" x14ac:dyDescent="0.2">
      <c r="A87" s="55">
        <f>Vekt!$E$4+ROW()-4</f>
        <v>46313</v>
      </c>
      <c r="B87" s="107">
        <f>_xlfn.ISOWEEKNUM(Dagslogg[[#This Row],[Dato]])</f>
        <v>42</v>
      </c>
      <c r="C87" s="107" t="str">
        <f>TEXT(Dagslogg[[#This Row],[Dato]],"ddd")</f>
        <v>søn</v>
      </c>
      <c r="D87" s="103"/>
      <c r="E87" s="104"/>
      <c r="F87" s="105"/>
      <c r="G87" s="106"/>
    </row>
    <row r="88" spans="1:7" x14ac:dyDescent="0.2">
      <c r="A88" s="55">
        <f>Vekt!$E$4+ROW()-4</f>
        <v>46314</v>
      </c>
      <c r="B88" s="107">
        <f>_xlfn.ISOWEEKNUM(Dagslogg[[#This Row],[Dato]])</f>
        <v>43</v>
      </c>
      <c r="C88" s="107" t="str">
        <f>TEXT(Dagslogg[[#This Row],[Dato]],"ddd")</f>
        <v>man</v>
      </c>
      <c r="D88" s="103"/>
      <c r="E88" s="104"/>
      <c r="F88" s="105"/>
      <c r="G88" s="106"/>
    </row>
    <row r="89" spans="1:7" x14ac:dyDescent="0.2">
      <c r="A89" s="55">
        <f>Vekt!$E$4+ROW()-4</f>
        <v>46315</v>
      </c>
      <c r="B89" s="107">
        <f>_xlfn.ISOWEEKNUM(Dagslogg[[#This Row],[Dato]])</f>
        <v>43</v>
      </c>
      <c r="C89" s="107" t="str">
        <f>TEXT(Dagslogg[[#This Row],[Dato]],"ddd")</f>
        <v>tir</v>
      </c>
      <c r="D89" s="103"/>
      <c r="E89" s="104"/>
      <c r="F89" s="105"/>
      <c r="G89" s="106"/>
    </row>
    <row r="90" spans="1:7" x14ac:dyDescent="0.2">
      <c r="A90" s="55">
        <f>Vekt!$E$4+ROW()-4</f>
        <v>46316</v>
      </c>
      <c r="B90" s="107">
        <f>_xlfn.ISOWEEKNUM(Dagslogg[[#This Row],[Dato]])</f>
        <v>43</v>
      </c>
      <c r="C90" s="107" t="str">
        <f>TEXT(Dagslogg[[#This Row],[Dato]],"ddd")</f>
        <v>ons</v>
      </c>
      <c r="D90" s="103"/>
      <c r="E90" s="104"/>
      <c r="F90" s="105"/>
      <c r="G90" s="106"/>
    </row>
    <row r="91" spans="1:7" x14ac:dyDescent="0.2">
      <c r="A91" s="55">
        <f>Vekt!$E$4+ROW()-4</f>
        <v>46317</v>
      </c>
      <c r="B91" s="107">
        <f>_xlfn.ISOWEEKNUM(Dagslogg[[#This Row],[Dato]])</f>
        <v>43</v>
      </c>
      <c r="C91" s="107" t="str">
        <f>TEXT(Dagslogg[[#This Row],[Dato]],"ddd")</f>
        <v>tor</v>
      </c>
      <c r="D91" s="103"/>
      <c r="E91" s="104"/>
      <c r="F91" s="105"/>
      <c r="G91" s="106"/>
    </row>
    <row r="92" spans="1:7" x14ac:dyDescent="0.2">
      <c r="A92" s="55">
        <f>Vekt!$E$4+ROW()-4</f>
        <v>46318</v>
      </c>
      <c r="B92" s="107">
        <f>_xlfn.ISOWEEKNUM(Dagslogg[[#This Row],[Dato]])</f>
        <v>43</v>
      </c>
      <c r="C92" s="107" t="str">
        <f>TEXT(Dagslogg[[#This Row],[Dato]],"ddd")</f>
        <v>fre</v>
      </c>
      <c r="D92" s="103"/>
      <c r="E92" s="104"/>
      <c r="F92" s="105"/>
      <c r="G92" s="106"/>
    </row>
    <row r="93" spans="1:7" x14ac:dyDescent="0.2">
      <c r="A93" s="55">
        <f>Vekt!$E$4+ROW()-4</f>
        <v>46319</v>
      </c>
      <c r="B93" s="107">
        <f>_xlfn.ISOWEEKNUM(Dagslogg[[#This Row],[Dato]])</f>
        <v>43</v>
      </c>
      <c r="C93" s="107" t="str">
        <f>TEXT(Dagslogg[[#This Row],[Dato]],"ddd")</f>
        <v>lør</v>
      </c>
      <c r="D93" s="103"/>
      <c r="E93" s="104"/>
      <c r="F93" s="105"/>
      <c r="G93" s="106"/>
    </row>
    <row r="94" spans="1:7" x14ac:dyDescent="0.2">
      <c r="A94" s="55">
        <f>Vekt!$E$4+ROW()-4</f>
        <v>46320</v>
      </c>
      <c r="B94" s="107">
        <f>_xlfn.ISOWEEKNUM(Dagslogg[[#This Row],[Dato]])</f>
        <v>43</v>
      </c>
      <c r="C94" s="107" t="str">
        <f>TEXT(Dagslogg[[#This Row],[Dato]],"ddd")</f>
        <v>søn</v>
      </c>
      <c r="D94" s="103"/>
      <c r="E94" s="104"/>
      <c r="F94" s="105"/>
      <c r="G94" s="106"/>
    </row>
    <row r="95" spans="1:7" x14ac:dyDescent="0.2">
      <c r="A95" s="55">
        <f>Vekt!$E$4+ROW()-4</f>
        <v>46321</v>
      </c>
      <c r="B95" s="107">
        <f>_xlfn.ISOWEEKNUM(Dagslogg[[#This Row],[Dato]])</f>
        <v>44</v>
      </c>
      <c r="C95" s="107" t="str">
        <f>TEXT(Dagslogg[[#This Row],[Dato]],"ddd")</f>
        <v>man</v>
      </c>
      <c r="D95" s="103"/>
      <c r="E95" s="104"/>
      <c r="F95" s="105"/>
      <c r="G95" s="106"/>
    </row>
    <row r="96" spans="1:7" x14ac:dyDescent="0.2">
      <c r="A96" s="55">
        <f>Vekt!$E$4+ROW()-4</f>
        <v>46322</v>
      </c>
      <c r="B96" s="107">
        <f>_xlfn.ISOWEEKNUM(Dagslogg[[#This Row],[Dato]])</f>
        <v>44</v>
      </c>
      <c r="C96" s="107" t="str">
        <f>TEXT(Dagslogg[[#This Row],[Dato]],"ddd")</f>
        <v>tir</v>
      </c>
      <c r="D96" s="103"/>
      <c r="E96" s="104"/>
      <c r="F96" s="105"/>
      <c r="G96" s="106"/>
    </row>
    <row r="97" spans="1:7" x14ac:dyDescent="0.2">
      <c r="A97" s="55">
        <f>Vekt!$E$4+ROW()-4</f>
        <v>46323</v>
      </c>
      <c r="B97" s="107">
        <f>_xlfn.ISOWEEKNUM(Dagslogg[[#This Row],[Dato]])</f>
        <v>44</v>
      </c>
      <c r="C97" s="107" t="str">
        <f>TEXT(Dagslogg[[#This Row],[Dato]],"ddd")</f>
        <v>ons</v>
      </c>
      <c r="D97" s="103"/>
      <c r="E97" s="104"/>
      <c r="F97" s="105"/>
      <c r="G97" s="106"/>
    </row>
    <row r="98" spans="1:7" x14ac:dyDescent="0.2">
      <c r="A98" s="55">
        <f>Vekt!$E$4+ROW()-4</f>
        <v>46324</v>
      </c>
      <c r="B98" s="107">
        <f>_xlfn.ISOWEEKNUM(Dagslogg[[#This Row],[Dato]])</f>
        <v>44</v>
      </c>
      <c r="C98" s="107" t="str">
        <f>TEXT(Dagslogg[[#This Row],[Dato]],"ddd")</f>
        <v>tor</v>
      </c>
      <c r="D98" s="103"/>
      <c r="E98" s="104"/>
      <c r="F98" s="105"/>
      <c r="G98" s="106"/>
    </row>
    <row r="99" spans="1:7" x14ac:dyDescent="0.2">
      <c r="A99" s="55">
        <f>Vekt!$E$4+ROW()-4</f>
        <v>46325</v>
      </c>
      <c r="B99" s="107">
        <f>_xlfn.ISOWEEKNUM(Dagslogg[[#This Row],[Dato]])</f>
        <v>44</v>
      </c>
      <c r="C99" s="107" t="str">
        <f>TEXT(Dagslogg[[#This Row],[Dato]],"ddd")</f>
        <v>fre</v>
      </c>
      <c r="D99" s="103"/>
      <c r="E99" s="104"/>
      <c r="F99" s="105"/>
      <c r="G99" s="106"/>
    </row>
    <row r="100" spans="1:7" x14ac:dyDescent="0.2">
      <c r="A100" s="55">
        <f>Vekt!$E$4+ROW()-4</f>
        <v>46326</v>
      </c>
      <c r="B100" s="107">
        <f>_xlfn.ISOWEEKNUM(Dagslogg[[#This Row],[Dato]])</f>
        <v>44</v>
      </c>
      <c r="C100" s="107" t="str">
        <f>TEXT(Dagslogg[[#This Row],[Dato]],"ddd")</f>
        <v>lør</v>
      </c>
      <c r="D100" s="103"/>
      <c r="E100" s="104"/>
      <c r="F100" s="105"/>
      <c r="G100" s="106"/>
    </row>
    <row r="101" spans="1:7" x14ac:dyDescent="0.2">
      <c r="A101" s="55">
        <f>Vekt!$E$4+ROW()-4</f>
        <v>46327</v>
      </c>
      <c r="B101" s="107">
        <f>_xlfn.ISOWEEKNUM(Dagslogg[[#This Row],[Dato]])</f>
        <v>44</v>
      </c>
      <c r="C101" s="107" t="str">
        <f>TEXT(Dagslogg[[#This Row],[Dato]],"ddd")</f>
        <v>søn</v>
      </c>
      <c r="D101" s="103"/>
      <c r="E101" s="104"/>
      <c r="F101" s="105"/>
      <c r="G101" s="106"/>
    </row>
    <row r="102" spans="1:7" x14ac:dyDescent="0.2">
      <c r="A102" s="55">
        <f>Vekt!$E$4+ROW()-4</f>
        <v>46328</v>
      </c>
      <c r="B102" s="107">
        <f>_xlfn.ISOWEEKNUM(Dagslogg[[#This Row],[Dato]])</f>
        <v>45</v>
      </c>
      <c r="C102" s="107" t="str">
        <f>TEXT(Dagslogg[[#This Row],[Dato]],"ddd")</f>
        <v>man</v>
      </c>
      <c r="D102" s="103"/>
      <c r="E102" s="104"/>
      <c r="F102" s="105"/>
      <c r="G102" s="106"/>
    </row>
    <row r="103" spans="1:7" x14ac:dyDescent="0.2">
      <c r="A103" s="55">
        <f>Vekt!$E$4+ROW()-4</f>
        <v>46329</v>
      </c>
      <c r="B103" s="107">
        <f>_xlfn.ISOWEEKNUM(Dagslogg[[#This Row],[Dato]])</f>
        <v>45</v>
      </c>
      <c r="C103" s="107" t="str">
        <f>TEXT(Dagslogg[[#This Row],[Dato]],"ddd")</f>
        <v>tir</v>
      </c>
      <c r="D103" s="103"/>
      <c r="E103" s="104"/>
      <c r="F103" s="105"/>
      <c r="G103" s="106"/>
    </row>
    <row r="104" spans="1:7" x14ac:dyDescent="0.2">
      <c r="A104" s="55">
        <f>Vekt!$E$4+ROW()-4</f>
        <v>46330</v>
      </c>
      <c r="B104" s="107">
        <f>_xlfn.ISOWEEKNUM(Dagslogg[[#This Row],[Dato]])</f>
        <v>45</v>
      </c>
      <c r="C104" s="107" t="str">
        <f>TEXT(Dagslogg[[#This Row],[Dato]],"ddd")</f>
        <v>ons</v>
      </c>
      <c r="D104" s="103"/>
      <c r="E104" s="104"/>
      <c r="F104" s="105"/>
      <c r="G104" s="106"/>
    </row>
    <row r="105" spans="1:7" x14ac:dyDescent="0.2">
      <c r="A105" s="55">
        <f>Vekt!$E$4+ROW()-4</f>
        <v>46331</v>
      </c>
      <c r="B105" s="107">
        <f>_xlfn.ISOWEEKNUM(Dagslogg[[#This Row],[Dato]])</f>
        <v>45</v>
      </c>
      <c r="C105" s="107" t="str">
        <f>TEXT(Dagslogg[[#This Row],[Dato]],"ddd")</f>
        <v>tor</v>
      </c>
      <c r="D105" s="103"/>
      <c r="E105" s="104"/>
      <c r="F105" s="105"/>
      <c r="G105" s="106"/>
    </row>
    <row r="106" spans="1:7" x14ac:dyDescent="0.2">
      <c r="A106" s="55">
        <f>Vekt!$E$4+ROW()-4</f>
        <v>46332</v>
      </c>
      <c r="B106" s="107">
        <f>_xlfn.ISOWEEKNUM(Dagslogg[[#This Row],[Dato]])</f>
        <v>45</v>
      </c>
      <c r="C106" s="107" t="str">
        <f>TEXT(Dagslogg[[#This Row],[Dato]],"ddd")</f>
        <v>fre</v>
      </c>
      <c r="D106" s="103"/>
      <c r="E106" s="104"/>
      <c r="F106" s="105"/>
      <c r="G106" s="106"/>
    </row>
    <row r="107" spans="1:7" x14ac:dyDescent="0.2">
      <c r="A107" s="55">
        <f>Vekt!$E$4+ROW()-4</f>
        <v>46333</v>
      </c>
      <c r="B107" s="107">
        <f>_xlfn.ISOWEEKNUM(Dagslogg[[#This Row],[Dato]])</f>
        <v>45</v>
      </c>
      <c r="C107" s="107" t="str">
        <f>TEXT(Dagslogg[[#This Row],[Dato]],"ddd")</f>
        <v>lør</v>
      </c>
      <c r="D107" s="103"/>
      <c r="E107" s="104"/>
      <c r="F107" s="105"/>
      <c r="G107" s="106"/>
    </row>
    <row r="108" spans="1:7" x14ac:dyDescent="0.2">
      <c r="A108" s="55">
        <f>Vekt!$E$4+ROW()-4</f>
        <v>46334</v>
      </c>
      <c r="B108" s="107">
        <f>_xlfn.ISOWEEKNUM(Dagslogg[[#This Row],[Dato]])</f>
        <v>45</v>
      </c>
      <c r="C108" s="107" t="str">
        <f>TEXT(Dagslogg[[#This Row],[Dato]],"ddd")</f>
        <v>søn</v>
      </c>
      <c r="D108" s="103"/>
      <c r="E108" s="104"/>
      <c r="F108" s="105"/>
      <c r="G108" s="106"/>
    </row>
    <row r="109" spans="1:7" x14ac:dyDescent="0.2">
      <c r="A109" s="55">
        <f>Vekt!$E$4+ROW()-4</f>
        <v>46335</v>
      </c>
      <c r="B109" s="107">
        <f>_xlfn.ISOWEEKNUM(Dagslogg[[#This Row],[Dato]])</f>
        <v>46</v>
      </c>
      <c r="C109" s="107" t="str">
        <f>TEXT(Dagslogg[[#This Row],[Dato]],"ddd")</f>
        <v>man</v>
      </c>
      <c r="D109" s="103"/>
      <c r="E109" s="104"/>
      <c r="F109" s="105"/>
      <c r="G109" s="106"/>
    </row>
    <row r="110" spans="1:7" x14ac:dyDescent="0.2">
      <c r="A110" s="55">
        <f>Vekt!$E$4+ROW()-4</f>
        <v>46336</v>
      </c>
      <c r="B110" s="107">
        <f>_xlfn.ISOWEEKNUM(Dagslogg[[#This Row],[Dato]])</f>
        <v>46</v>
      </c>
      <c r="C110" s="107" t="str">
        <f>TEXT(Dagslogg[[#This Row],[Dato]],"ddd")</f>
        <v>tir</v>
      </c>
      <c r="D110" s="103"/>
      <c r="E110" s="104"/>
      <c r="F110" s="105"/>
      <c r="G110" s="106"/>
    </row>
    <row r="111" spans="1:7" x14ac:dyDescent="0.2">
      <c r="A111" s="55">
        <f>Vekt!$E$4+ROW()-4</f>
        <v>46337</v>
      </c>
      <c r="B111" s="107">
        <f>_xlfn.ISOWEEKNUM(Dagslogg[[#This Row],[Dato]])</f>
        <v>46</v>
      </c>
      <c r="C111" s="107" t="str">
        <f>TEXT(Dagslogg[[#This Row],[Dato]],"ddd")</f>
        <v>ons</v>
      </c>
      <c r="D111" s="103"/>
      <c r="E111" s="104"/>
      <c r="F111" s="105"/>
      <c r="G111" s="106"/>
    </row>
    <row r="112" spans="1:7" x14ac:dyDescent="0.2">
      <c r="A112" s="55">
        <f>Vekt!$E$4+ROW()-4</f>
        <v>46338</v>
      </c>
      <c r="B112" s="107">
        <f>_xlfn.ISOWEEKNUM(Dagslogg[[#This Row],[Dato]])</f>
        <v>46</v>
      </c>
      <c r="C112" s="107" t="str">
        <f>TEXT(Dagslogg[[#This Row],[Dato]],"ddd")</f>
        <v>tor</v>
      </c>
      <c r="D112" s="103"/>
      <c r="E112" s="104"/>
      <c r="F112" s="105"/>
      <c r="G112" s="106"/>
    </row>
    <row r="113" spans="1:7" x14ac:dyDescent="0.2">
      <c r="A113" s="55">
        <f>Vekt!$E$4+ROW()-4</f>
        <v>46339</v>
      </c>
      <c r="B113" s="107">
        <f>_xlfn.ISOWEEKNUM(Dagslogg[[#This Row],[Dato]])</f>
        <v>46</v>
      </c>
      <c r="C113" s="107" t="str">
        <f>TEXT(Dagslogg[[#This Row],[Dato]],"ddd")</f>
        <v>fre</v>
      </c>
      <c r="D113" s="103"/>
      <c r="E113" s="104"/>
      <c r="F113" s="105"/>
      <c r="G113" s="106"/>
    </row>
    <row r="114" spans="1:7" x14ac:dyDescent="0.2">
      <c r="A114" s="55">
        <f>Vekt!$E$4+ROW()-4</f>
        <v>46340</v>
      </c>
      <c r="B114" s="107">
        <f>_xlfn.ISOWEEKNUM(Dagslogg[[#This Row],[Dato]])</f>
        <v>46</v>
      </c>
      <c r="C114" s="107" t="str">
        <f>TEXT(Dagslogg[[#This Row],[Dato]],"ddd")</f>
        <v>lør</v>
      </c>
      <c r="D114" s="103"/>
      <c r="E114" s="104"/>
      <c r="F114" s="105"/>
      <c r="G114" s="106"/>
    </row>
    <row r="115" spans="1:7" x14ac:dyDescent="0.2">
      <c r="A115" s="55">
        <f>Vekt!$E$4+ROW()-4</f>
        <v>46341</v>
      </c>
      <c r="B115" s="107">
        <f>_xlfn.ISOWEEKNUM(Dagslogg[[#This Row],[Dato]])</f>
        <v>46</v>
      </c>
      <c r="C115" s="107" t="str">
        <f>TEXT(Dagslogg[[#This Row],[Dato]],"ddd")</f>
        <v>søn</v>
      </c>
      <c r="D115" s="103"/>
      <c r="E115" s="104"/>
      <c r="F115" s="105"/>
      <c r="G115" s="106"/>
    </row>
    <row r="116" spans="1:7" x14ac:dyDescent="0.2">
      <c r="A116" s="55">
        <f>Vekt!$E$4+ROW()-4</f>
        <v>46342</v>
      </c>
      <c r="B116" s="107">
        <f>_xlfn.ISOWEEKNUM(Dagslogg[[#This Row],[Dato]])</f>
        <v>47</v>
      </c>
      <c r="C116" s="107" t="str">
        <f>TEXT(Dagslogg[[#This Row],[Dato]],"ddd")</f>
        <v>man</v>
      </c>
      <c r="D116" s="103"/>
      <c r="E116" s="104"/>
      <c r="F116" s="105"/>
      <c r="G116" s="106"/>
    </row>
    <row r="117" spans="1:7" x14ac:dyDescent="0.2">
      <c r="A117" s="55">
        <f>Vekt!$E$4+ROW()-4</f>
        <v>46343</v>
      </c>
      <c r="B117" s="107">
        <f>_xlfn.ISOWEEKNUM(Dagslogg[[#This Row],[Dato]])</f>
        <v>47</v>
      </c>
      <c r="C117" s="107" t="str">
        <f>TEXT(Dagslogg[[#This Row],[Dato]],"ddd")</f>
        <v>tir</v>
      </c>
      <c r="D117" s="103"/>
      <c r="E117" s="104"/>
      <c r="F117" s="105"/>
      <c r="G117" s="106"/>
    </row>
    <row r="118" spans="1:7" x14ac:dyDescent="0.2">
      <c r="A118" s="55">
        <f>Vekt!$E$4+ROW()-4</f>
        <v>46344</v>
      </c>
      <c r="B118" s="107">
        <f>_xlfn.ISOWEEKNUM(Dagslogg[[#This Row],[Dato]])</f>
        <v>47</v>
      </c>
      <c r="C118" s="107" t="str">
        <f>TEXT(Dagslogg[[#This Row],[Dato]],"ddd")</f>
        <v>ons</v>
      </c>
      <c r="D118" s="103"/>
      <c r="E118" s="104"/>
      <c r="F118" s="105"/>
      <c r="G118" s="106"/>
    </row>
    <row r="119" spans="1:7" x14ac:dyDescent="0.2">
      <c r="A119" s="55">
        <f>Vekt!$E$4+ROW()-4</f>
        <v>46345</v>
      </c>
      <c r="B119" s="107">
        <f>_xlfn.ISOWEEKNUM(Dagslogg[[#This Row],[Dato]])</f>
        <v>47</v>
      </c>
      <c r="C119" s="107" t="str">
        <f>TEXT(Dagslogg[[#This Row],[Dato]],"ddd")</f>
        <v>tor</v>
      </c>
      <c r="D119" s="103"/>
      <c r="E119" s="104"/>
      <c r="F119" s="105"/>
      <c r="G119" s="106"/>
    </row>
    <row r="120" spans="1:7" x14ac:dyDescent="0.2">
      <c r="A120" s="55">
        <f>Vekt!$E$4+ROW()-4</f>
        <v>46346</v>
      </c>
      <c r="B120" s="107">
        <f>_xlfn.ISOWEEKNUM(Dagslogg[[#This Row],[Dato]])</f>
        <v>47</v>
      </c>
      <c r="C120" s="107" t="str">
        <f>TEXT(Dagslogg[[#This Row],[Dato]],"ddd")</f>
        <v>fre</v>
      </c>
      <c r="D120" s="103"/>
      <c r="E120" s="104"/>
      <c r="F120" s="105"/>
      <c r="G120" s="106"/>
    </row>
    <row r="121" spans="1:7" x14ac:dyDescent="0.2">
      <c r="A121" s="55">
        <f>Vekt!$E$4+ROW()-4</f>
        <v>46347</v>
      </c>
      <c r="B121" s="107">
        <f>_xlfn.ISOWEEKNUM(Dagslogg[[#This Row],[Dato]])</f>
        <v>47</v>
      </c>
      <c r="C121" s="107" t="str">
        <f>TEXT(Dagslogg[[#This Row],[Dato]],"ddd")</f>
        <v>lør</v>
      </c>
      <c r="D121" s="103"/>
      <c r="E121" s="104"/>
      <c r="F121" s="105"/>
      <c r="G121" s="106"/>
    </row>
    <row r="122" spans="1:7" x14ac:dyDescent="0.2">
      <c r="A122" s="55">
        <f>Vekt!$E$4+ROW()-4</f>
        <v>46348</v>
      </c>
      <c r="B122" s="107">
        <f>_xlfn.ISOWEEKNUM(Dagslogg[[#This Row],[Dato]])</f>
        <v>47</v>
      </c>
      <c r="C122" s="107" t="str">
        <f>TEXT(Dagslogg[[#This Row],[Dato]],"ddd")</f>
        <v>søn</v>
      </c>
      <c r="D122" s="103"/>
      <c r="E122" s="104"/>
      <c r="F122" s="105"/>
      <c r="G122" s="106"/>
    </row>
    <row r="123" spans="1:7" x14ac:dyDescent="0.2">
      <c r="A123" s="55">
        <f>Vekt!$E$4+ROW()-4</f>
        <v>46349</v>
      </c>
      <c r="B123" s="107">
        <f>_xlfn.ISOWEEKNUM(Dagslogg[[#This Row],[Dato]])</f>
        <v>48</v>
      </c>
      <c r="C123" s="107" t="str">
        <f>TEXT(Dagslogg[[#This Row],[Dato]],"ddd")</f>
        <v>man</v>
      </c>
      <c r="D123" s="103"/>
      <c r="E123" s="104"/>
      <c r="F123" s="105"/>
      <c r="G123" s="106"/>
    </row>
    <row r="124" spans="1:7" x14ac:dyDescent="0.2">
      <c r="A124" s="55">
        <f>Vekt!$E$4+ROW()-4</f>
        <v>46350</v>
      </c>
      <c r="B124" s="107">
        <f>_xlfn.ISOWEEKNUM(Dagslogg[[#This Row],[Dato]])</f>
        <v>48</v>
      </c>
      <c r="C124" s="107" t="str">
        <f>TEXT(Dagslogg[[#This Row],[Dato]],"ddd")</f>
        <v>tir</v>
      </c>
      <c r="D124" s="103"/>
      <c r="E124" s="104"/>
      <c r="F124" s="105"/>
      <c r="G124" s="106"/>
    </row>
    <row r="125" spans="1:7" x14ac:dyDescent="0.2">
      <c r="A125" s="55">
        <f>Vekt!$E$4+ROW()-4</f>
        <v>46351</v>
      </c>
      <c r="B125" s="107">
        <f>_xlfn.ISOWEEKNUM(Dagslogg[[#This Row],[Dato]])</f>
        <v>48</v>
      </c>
      <c r="C125" s="107" t="str">
        <f>TEXT(Dagslogg[[#This Row],[Dato]],"ddd")</f>
        <v>ons</v>
      </c>
      <c r="D125" s="103"/>
      <c r="E125" s="104"/>
      <c r="F125" s="105"/>
      <c r="G125" s="106"/>
    </row>
    <row r="126" spans="1:7" x14ac:dyDescent="0.2">
      <c r="A126" s="55">
        <f>Vekt!$E$4+ROW()-4</f>
        <v>46352</v>
      </c>
      <c r="B126" s="107">
        <f>_xlfn.ISOWEEKNUM(Dagslogg[[#This Row],[Dato]])</f>
        <v>48</v>
      </c>
      <c r="C126" s="107" t="str">
        <f>TEXT(Dagslogg[[#This Row],[Dato]],"ddd")</f>
        <v>tor</v>
      </c>
      <c r="D126" s="103"/>
      <c r="E126" s="104"/>
      <c r="F126" s="105"/>
      <c r="G126" s="106"/>
    </row>
    <row r="127" spans="1:7" x14ac:dyDescent="0.2">
      <c r="A127" s="55">
        <f>Vekt!$E$4+ROW()-4</f>
        <v>46353</v>
      </c>
      <c r="B127" s="107">
        <f>_xlfn.ISOWEEKNUM(Dagslogg[[#This Row],[Dato]])</f>
        <v>48</v>
      </c>
      <c r="C127" s="107" t="str">
        <f>TEXT(Dagslogg[[#This Row],[Dato]],"ddd")</f>
        <v>fre</v>
      </c>
      <c r="D127" s="103"/>
      <c r="E127" s="104"/>
      <c r="F127" s="105"/>
      <c r="G127" s="106"/>
    </row>
    <row r="128" spans="1:7" x14ac:dyDescent="0.2">
      <c r="A128" s="55">
        <f>Vekt!$E$4+ROW()-4</f>
        <v>46354</v>
      </c>
      <c r="B128" s="107">
        <f>_xlfn.ISOWEEKNUM(Dagslogg[[#This Row],[Dato]])</f>
        <v>48</v>
      </c>
      <c r="C128" s="107" t="str">
        <f>TEXT(Dagslogg[[#This Row],[Dato]],"ddd")</f>
        <v>lør</v>
      </c>
      <c r="D128" s="103"/>
      <c r="E128" s="104"/>
      <c r="F128" s="105"/>
      <c r="G128" s="106"/>
    </row>
    <row r="129" spans="1:7" x14ac:dyDescent="0.2">
      <c r="A129" s="55">
        <f>Vekt!$E$4+ROW()-4</f>
        <v>46355</v>
      </c>
      <c r="B129" s="107">
        <f>_xlfn.ISOWEEKNUM(Dagslogg[[#This Row],[Dato]])</f>
        <v>48</v>
      </c>
      <c r="C129" s="107" t="str">
        <f>TEXT(Dagslogg[[#This Row],[Dato]],"ddd")</f>
        <v>søn</v>
      </c>
      <c r="D129" s="103"/>
      <c r="E129" s="104"/>
      <c r="F129" s="105"/>
      <c r="G129" s="106"/>
    </row>
    <row r="130" spans="1:7" x14ac:dyDescent="0.2">
      <c r="A130" s="55">
        <f>Vekt!$E$4+ROW()-4</f>
        <v>46356</v>
      </c>
      <c r="B130" s="107">
        <f>_xlfn.ISOWEEKNUM(Dagslogg[[#This Row],[Dato]])</f>
        <v>49</v>
      </c>
      <c r="C130" s="107" t="str">
        <f>TEXT(Dagslogg[[#This Row],[Dato]],"ddd")</f>
        <v>man</v>
      </c>
      <c r="D130" s="103"/>
      <c r="E130" s="104"/>
      <c r="F130" s="105"/>
      <c r="G130" s="106"/>
    </row>
    <row r="131" spans="1:7" x14ac:dyDescent="0.2">
      <c r="A131" s="55">
        <f>Vekt!$E$4+ROW()-4</f>
        <v>46357</v>
      </c>
      <c r="B131" s="107">
        <f>_xlfn.ISOWEEKNUM(Dagslogg[[#This Row],[Dato]])</f>
        <v>49</v>
      </c>
      <c r="C131" s="107" t="str">
        <f>TEXT(Dagslogg[[#This Row],[Dato]],"ddd")</f>
        <v>tir</v>
      </c>
      <c r="D131" s="103"/>
      <c r="E131" s="104"/>
      <c r="F131" s="105"/>
      <c r="G131" s="106"/>
    </row>
    <row r="132" spans="1:7" x14ac:dyDescent="0.2">
      <c r="A132" s="55">
        <f>Vekt!$E$4+ROW()-4</f>
        <v>46358</v>
      </c>
      <c r="B132" s="107">
        <f>_xlfn.ISOWEEKNUM(Dagslogg[[#This Row],[Dato]])</f>
        <v>49</v>
      </c>
      <c r="C132" s="107" t="str">
        <f>TEXT(Dagslogg[[#This Row],[Dato]],"ddd")</f>
        <v>ons</v>
      </c>
      <c r="D132" s="103"/>
      <c r="E132" s="104"/>
      <c r="F132" s="105"/>
      <c r="G132" s="106"/>
    </row>
    <row r="133" spans="1:7" x14ac:dyDescent="0.2">
      <c r="A133" s="55">
        <f>Vekt!$E$4+ROW()-4</f>
        <v>46359</v>
      </c>
      <c r="B133" s="107">
        <f>_xlfn.ISOWEEKNUM(Dagslogg[[#This Row],[Dato]])</f>
        <v>49</v>
      </c>
      <c r="C133" s="107" t="str">
        <f>TEXT(Dagslogg[[#This Row],[Dato]],"ddd")</f>
        <v>tor</v>
      </c>
      <c r="D133" s="103"/>
      <c r="E133" s="104"/>
      <c r="F133" s="105"/>
      <c r="G133" s="106"/>
    </row>
    <row r="134" spans="1:7" x14ac:dyDescent="0.2">
      <c r="A134" s="55">
        <f>Vekt!$E$4+ROW()-4</f>
        <v>46360</v>
      </c>
      <c r="B134" s="107">
        <f>_xlfn.ISOWEEKNUM(Dagslogg[[#This Row],[Dato]])</f>
        <v>49</v>
      </c>
      <c r="C134" s="107" t="str">
        <f>TEXT(Dagslogg[[#This Row],[Dato]],"ddd")</f>
        <v>fre</v>
      </c>
      <c r="D134" s="103"/>
      <c r="E134" s="104"/>
      <c r="F134" s="105"/>
      <c r="G134" s="106"/>
    </row>
    <row r="135" spans="1:7" x14ac:dyDescent="0.2">
      <c r="A135" s="55">
        <f>Vekt!$E$4+ROW()-4</f>
        <v>46361</v>
      </c>
      <c r="B135" s="107">
        <f>_xlfn.ISOWEEKNUM(Dagslogg[[#This Row],[Dato]])</f>
        <v>49</v>
      </c>
      <c r="C135" s="107" t="str">
        <f>TEXT(Dagslogg[[#This Row],[Dato]],"ddd")</f>
        <v>lør</v>
      </c>
      <c r="D135" s="103"/>
      <c r="E135" s="104"/>
      <c r="F135" s="105"/>
      <c r="G135" s="106"/>
    </row>
    <row r="136" spans="1:7" x14ac:dyDescent="0.2">
      <c r="A136" s="55">
        <f>Vekt!$E$4+ROW()-4</f>
        <v>46362</v>
      </c>
      <c r="B136" s="107">
        <f>_xlfn.ISOWEEKNUM(Dagslogg[[#This Row],[Dato]])</f>
        <v>49</v>
      </c>
      <c r="C136" s="107" t="str">
        <f>TEXT(Dagslogg[[#This Row],[Dato]],"ddd")</f>
        <v>søn</v>
      </c>
      <c r="D136" s="103"/>
      <c r="E136" s="104"/>
      <c r="F136" s="105"/>
      <c r="G136" s="106"/>
    </row>
    <row r="137" spans="1:7" x14ac:dyDescent="0.2">
      <c r="A137" s="55">
        <f>Vekt!$E$4+ROW()-4</f>
        <v>46363</v>
      </c>
      <c r="B137" s="107">
        <f>_xlfn.ISOWEEKNUM(Dagslogg[[#This Row],[Dato]])</f>
        <v>50</v>
      </c>
      <c r="C137" s="107" t="str">
        <f>TEXT(Dagslogg[[#This Row],[Dato]],"ddd")</f>
        <v>man</v>
      </c>
      <c r="D137" s="103"/>
      <c r="E137" s="104"/>
      <c r="F137" s="105"/>
      <c r="G137" s="106"/>
    </row>
    <row r="138" spans="1:7" x14ac:dyDescent="0.2">
      <c r="A138" s="55">
        <f>Vekt!$E$4+ROW()-4</f>
        <v>46364</v>
      </c>
      <c r="B138" s="107">
        <f>_xlfn.ISOWEEKNUM(Dagslogg[[#This Row],[Dato]])</f>
        <v>50</v>
      </c>
      <c r="C138" s="107" t="str">
        <f>TEXT(Dagslogg[[#This Row],[Dato]],"ddd")</f>
        <v>tir</v>
      </c>
      <c r="D138" s="103"/>
      <c r="E138" s="104"/>
      <c r="F138" s="105"/>
      <c r="G138" s="106"/>
    </row>
    <row r="139" spans="1:7" x14ac:dyDescent="0.2">
      <c r="A139" s="55">
        <f>Vekt!$E$4+ROW()-4</f>
        <v>46365</v>
      </c>
      <c r="B139" s="107">
        <f>_xlfn.ISOWEEKNUM(Dagslogg[[#This Row],[Dato]])</f>
        <v>50</v>
      </c>
      <c r="C139" s="107" t="str">
        <f>TEXT(Dagslogg[[#This Row],[Dato]],"ddd")</f>
        <v>ons</v>
      </c>
      <c r="D139" s="103"/>
      <c r="E139" s="104"/>
      <c r="F139" s="105"/>
      <c r="G139" s="106"/>
    </row>
    <row r="140" spans="1:7" x14ac:dyDescent="0.2">
      <c r="A140" s="55">
        <f>Vekt!$E$4+ROW()-4</f>
        <v>46366</v>
      </c>
      <c r="B140" s="107">
        <f>_xlfn.ISOWEEKNUM(Dagslogg[[#This Row],[Dato]])</f>
        <v>50</v>
      </c>
      <c r="C140" s="107" t="str">
        <f>TEXT(Dagslogg[[#This Row],[Dato]],"ddd")</f>
        <v>tor</v>
      </c>
      <c r="D140" s="103"/>
      <c r="E140" s="104"/>
      <c r="F140" s="105"/>
      <c r="G140" s="106"/>
    </row>
    <row r="141" spans="1:7" x14ac:dyDescent="0.2">
      <c r="A141" s="55">
        <f>Vekt!$E$4+ROW()-4</f>
        <v>46367</v>
      </c>
      <c r="B141" s="107">
        <f>_xlfn.ISOWEEKNUM(Dagslogg[[#This Row],[Dato]])</f>
        <v>50</v>
      </c>
      <c r="C141" s="107" t="str">
        <f>TEXT(Dagslogg[[#This Row],[Dato]],"ddd")</f>
        <v>fre</v>
      </c>
      <c r="D141" s="103"/>
      <c r="E141" s="104"/>
      <c r="F141" s="105"/>
      <c r="G141" s="106"/>
    </row>
    <row r="142" spans="1:7" x14ac:dyDescent="0.2">
      <c r="A142" s="55">
        <f>Vekt!$E$4+ROW()-4</f>
        <v>46368</v>
      </c>
      <c r="B142" s="107">
        <f>_xlfn.ISOWEEKNUM(Dagslogg[[#This Row],[Dato]])</f>
        <v>50</v>
      </c>
      <c r="C142" s="107" t="str">
        <f>TEXT(Dagslogg[[#This Row],[Dato]],"ddd")</f>
        <v>lør</v>
      </c>
      <c r="D142" s="103"/>
      <c r="E142" s="104"/>
      <c r="F142" s="105"/>
      <c r="G142" s="106"/>
    </row>
    <row r="143" spans="1:7" x14ac:dyDescent="0.2">
      <c r="A143" s="55">
        <f>Vekt!$E$4+ROW()-4</f>
        <v>46369</v>
      </c>
      <c r="B143" s="107">
        <f>_xlfn.ISOWEEKNUM(Dagslogg[[#This Row],[Dato]])</f>
        <v>50</v>
      </c>
      <c r="C143" s="107" t="str">
        <f>TEXT(Dagslogg[[#This Row],[Dato]],"ddd")</f>
        <v>søn</v>
      </c>
      <c r="D143" s="103"/>
      <c r="E143" s="104"/>
      <c r="F143" s="105"/>
      <c r="G143" s="106"/>
    </row>
    <row r="144" spans="1:7" x14ac:dyDescent="0.2">
      <c r="A144" s="55">
        <f>Vekt!$E$4+ROW()-4</f>
        <v>46370</v>
      </c>
      <c r="B144" s="107">
        <f>_xlfn.ISOWEEKNUM(Dagslogg[[#This Row],[Dato]])</f>
        <v>51</v>
      </c>
      <c r="C144" s="107" t="str">
        <f>TEXT(Dagslogg[[#This Row],[Dato]],"ddd")</f>
        <v>man</v>
      </c>
      <c r="D144" s="103"/>
      <c r="E144" s="104"/>
      <c r="F144" s="105"/>
      <c r="G144" s="106"/>
    </row>
    <row r="145" spans="1:7" x14ac:dyDescent="0.2">
      <c r="A145" s="55">
        <f>Vekt!$E$4+ROW()-4</f>
        <v>46371</v>
      </c>
      <c r="B145" s="107">
        <f>_xlfn.ISOWEEKNUM(Dagslogg[[#This Row],[Dato]])</f>
        <v>51</v>
      </c>
      <c r="C145" s="107" t="str">
        <f>TEXT(Dagslogg[[#This Row],[Dato]],"ddd")</f>
        <v>tir</v>
      </c>
      <c r="D145" s="103"/>
      <c r="E145" s="104"/>
      <c r="F145" s="105"/>
      <c r="G145" s="106"/>
    </row>
    <row r="146" spans="1:7" x14ac:dyDescent="0.2">
      <c r="A146" s="55">
        <f>Vekt!$E$4+ROW()-4</f>
        <v>46372</v>
      </c>
      <c r="B146" s="107">
        <f>_xlfn.ISOWEEKNUM(Dagslogg[[#This Row],[Dato]])</f>
        <v>51</v>
      </c>
      <c r="C146" s="107" t="str">
        <f>TEXT(Dagslogg[[#This Row],[Dato]],"ddd")</f>
        <v>ons</v>
      </c>
      <c r="D146" s="103"/>
      <c r="E146" s="104"/>
      <c r="F146" s="105"/>
      <c r="G146" s="106"/>
    </row>
    <row r="147" spans="1:7" x14ac:dyDescent="0.2">
      <c r="A147" s="55">
        <f>Vekt!$E$4+ROW()-4</f>
        <v>46373</v>
      </c>
      <c r="B147" s="107">
        <f>_xlfn.ISOWEEKNUM(Dagslogg[[#This Row],[Dato]])</f>
        <v>51</v>
      </c>
      <c r="C147" s="107" t="str">
        <f>TEXT(Dagslogg[[#This Row],[Dato]],"ddd")</f>
        <v>tor</v>
      </c>
      <c r="D147" s="103"/>
      <c r="E147" s="104"/>
      <c r="F147" s="105"/>
      <c r="G147" s="106"/>
    </row>
    <row r="148" spans="1:7" x14ac:dyDescent="0.2">
      <c r="A148" s="55">
        <f>Vekt!$E$4+ROW()-4</f>
        <v>46374</v>
      </c>
      <c r="B148" s="107">
        <f>_xlfn.ISOWEEKNUM(Dagslogg[[#This Row],[Dato]])</f>
        <v>51</v>
      </c>
      <c r="C148" s="107" t="str">
        <f>TEXT(Dagslogg[[#This Row],[Dato]],"ddd")</f>
        <v>fre</v>
      </c>
      <c r="D148" s="103"/>
      <c r="E148" s="104"/>
      <c r="F148" s="105"/>
      <c r="G148" s="106"/>
    </row>
    <row r="149" spans="1:7" x14ac:dyDescent="0.2">
      <c r="A149" s="55">
        <f>Vekt!$E$4+ROW()-4</f>
        <v>46375</v>
      </c>
      <c r="B149" s="107">
        <f>_xlfn.ISOWEEKNUM(Dagslogg[[#This Row],[Dato]])</f>
        <v>51</v>
      </c>
      <c r="C149" s="107" t="str">
        <f>TEXT(Dagslogg[[#This Row],[Dato]],"ddd")</f>
        <v>lør</v>
      </c>
      <c r="D149" s="103"/>
      <c r="E149" s="104"/>
      <c r="F149" s="105"/>
      <c r="G149" s="106"/>
    </row>
    <row r="150" spans="1:7" x14ac:dyDescent="0.2">
      <c r="A150" s="55">
        <f>Vekt!$E$4+ROW()-4</f>
        <v>46376</v>
      </c>
      <c r="B150" s="107">
        <f>_xlfn.ISOWEEKNUM(Dagslogg[[#This Row],[Dato]])</f>
        <v>51</v>
      </c>
      <c r="C150" s="107" t="str">
        <f>TEXT(Dagslogg[[#This Row],[Dato]],"ddd")</f>
        <v>søn</v>
      </c>
      <c r="D150" s="103"/>
      <c r="E150" s="104"/>
      <c r="F150" s="105"/>
      <c r="G150" s="106"/>
    </row>
  </sheetData>
  <conditionalFormatting sqref="A4:G150">
    <cfRule type="expression" dxfId="58" priority="1">
      <formula>$A4=TODAY()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2E0B-D095-FE40-BBE0-21F1D74D270D}">
  <sheetPr>
    <tabColor rgb="FF6E8B5A"/>
  </sheetPr>
  <dimension ref="A1:G203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5" sqref="A5"/>
    </sheetView>
  </sheetViews>
  <sheetFormatPr baseColWidth="10" defaultRowHeight="16" x14ac:dyDescent="0.2"/>
  <cols>
    <col min="1" max="1" width="11.6640625" customWidth="1"/>
    <col min="2" max="2" width="15.83203125" customWidth="1"/>
    <col min="3" max="3" width="31.6640625" customWidth="1"/>
    <col min="4" max="4" width="15.5" customWidth="1"/>
    <col min="5" max="5" width="15.1640625" customWidth="1"/>
    <col min="6" max="6" width="12.5" customWidth="1"/>
    <col min="7" max="7" width="38.33203125" customWidth="1"/>
  </cols>
  <sheetData>
    <row r="1" spans="1:7" ht="21" x14ac:dyDescent="0.25">
      <c r="B1" s="272" t="s">
        <v>223</v>
      </c>
    </row>
    <row r="2" spans="1:7" x14ac:dyDescent="0.2">
      <c r="B2" s="273" t="s">
        <v>179</v>
      </c>
    </row>
    <row r="3" spans="1:7" x14ac:dyDescent="0.2">
      <c r="A3" t="s">
        <v>5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  <c r="G3" t="s">
        <v>6</v>
      </c>
    </row>
    <row r="4" spans="1:7" x14ac:dyDescent="0.2">
      <c r="A4" s="168">
        <v>46230</v>
      </c>
      <c r="B4" s="106" t="s">
        <v>197</v>
      </c>
      <c r="C4" s="106" t="s">
        <v>204</v>
      </c>
      <c r="D4" s="169"/>
      <c r="E4" s="169"/>
      <c r="F4" s="106"/>
      <c r="G4" s="106"/>
    </row>
    <row r="5" spans="1:7" x14ac:dyDescent="0.2">
      <c r="A5" s="168">
        <v>46230</v>
      </c>
      <c r="B5" s="106" t="s">
        <v>198</v>
      </c>
      <c r="C5" s="106" t="s">
        <v>205</v>
      </c>
      <c r="D5" s="169"/>
      <c r="E5" s="169"/>
      <c r="F5" s="106"/>
      <c r="G5" s="106"/>
    </row>
    <row r="6" spans="1:7" x14ac:dyDescent="0.2">
      <c r="A6" s="168">
        <v>46231</v>
      </c>
      <c r="B6" s="106" t="s">
        <v>198</v>
      </c>
      <c r="C6" s="106" t="s">
        <v>206</v>
      </c>
      <c r="D6" s="169"/>
      <c r="E6" s="169"/>
      <c r="F6" s="106"/>
      <c r="G6" s="106"/>
    </row>
    <row r="7" spans="1:7" x14ac:dyDescent="0.2">
      <c r="A7" s="168">
        <v>46232</v>
      </c>
      <c r="B7" s="106" t="s">
        <v>197</v>
      </c>
      <c r="C7" s="106" t="s">
        <v>207</v>
      </c>
      <c r="D7" s="169"/>
      <c r="E7" s="169"/>
      <c r="F7" s="106"/>
      <c r="G7" s="106"/>
    </row>
    <row r="8" spans="1:7" x14ac:dyDescent="0.2">
      <c r="A8" s="168">
        <v>46232</v>
      </c>
      <c r="B8" s="106" t="s">
        <v>199</v>
      </c>
      <c r="C8" s="106" t="s">
        <v>208</v>
      </c>
      <c r="D8" s="169"/>
      <c r="E8" s="169"/>
      <c r="F8" s="106"/>
      <c r="G8" s="106"/>
    </row>
    <row r="9" spans="1:7" x14ac:dyDescent="0.2">
      <c r="A9" s="168">
        <v>46233</v>
      </c>
      <c r="B9" s="106" t="s">
        <v>199</v>
      </c>
      <c r="C9" s="106" t="s">
        <v>209</v>
      </c>
      <c r="D9" s="169"/>
      <c r="E9" s="169"/>
      <c r="F9" s="106"/>
      <c r="G9" s="106"/>
    </row>
    <row r="10" spans="1:7" x14ac:dyDescent="0.2">
      <c r="A10" s="168">
        <v>46233</v>
      </c>
      <c r="B10" s="106" t="s">
        <v>200</v>
      </c>
      <c r="C10" s="106" t="s">
        <v>210</v>
      </c>
      <c r="D10" s="169"/>
      <c r="E10" s="169"/>
      <c r="F10" s="106"/>
      <c r="G10" s="106"/>
    </row>
    <row r="11" spans="1:7" x14ac:dyDescent="0.2">
      <c r="A11" s="168">
        <v>46234</v>
      </c>
      <c r="B11" s="106" t="s">
        <v>197</v>
      </c>
      <c r="C11" s="106" t="s">
        <v>211</v>
      </c>
      <c r="D11" s="169"/>
      <c r="E11" s="169"/>
      <c r="F11" s="106"/>
      <c r="G11" s="106"/>
    </row>
    <row r="12" spans="1:7" x14ac:dyDescent="0.2">
      <c r="A12" s="168">
        <v>46235</v>
      </c>
      <c r="B12" s="106" t="s">
        <v>201</v>
      </c>
      <c r="C12" s="106" t="s">
        <v>212</v>
      </c>
      <c r="D12" s="169"/>
      <c r="E12" s="169"/>
      <c r="F12" s="106"/>
      <c r="G12" s="106"/>
    </row>
    <row r="13" spans="1:7" x14ac:dyDescent="0.2">
      <c r="A13" s="168">
        <v>46235</v>
      </c>
      <c r="B13" s="106" t="s">
        <v>202</v>
      </c>
      <c r="C13" s="106" t="s">
        <v>213</v>
      </c>
      <c r="D13" s="169"/>
      <c r="E13" s="169"/>
      <c r="F13" s="106"/>
      <c r="G13" s="106"/>
    </row>
    <row r="14" spans="1:7" x14ac:dyDescent="0.2">
      <c r="A14" s="168">
        <v>46236</v>
      </c>
      <c r="B14" s="106" t="s">
        <v>203</v>
      </c>
      <c r="C14" s="106" t="s">
        <v>214</v>
      </c>
      <c r="D14" s="169"/>
      <c r="E14" s="169"/>
      <c r="F14" s="106"/>
      <c r="G14" s="106"/>
    </row>
    <row r="15" spans="1:7" x14ac:dyDescent="0.2">
      <c r="A15" s="168"/>
      <c r="B15" s="106"/>
      <c r="C15" s="106"/>
      <c r="D15" s="169"/>
      <c r="E15" s="169"/>
      <c r="F15" s="106"/>
      <c r="G15" s="106"/>
    </row>
    <row r="16" spans="1:7" x14ac:dyDescent="0.2">
      <c r="A16" s="168"/>
      <c r="B16" s="106"/>
      <c r="C16" s="106"/>
      <c r="D16" s="169"/>
      <c r="E16" s="169"/>
      <c r="F16" s="106"/>
      <c r="G16" s="106"/>
    </row>
    <row r="17" spans="1:7" x14ac:dyDescent="0.2">
      <c r="A17" s="168"/>
      <c r="B17" s="106"/>
      <c r="C17" s="106"/>
      <c r="D17" s="169"/>
      <c r="E17" s="169"/>
      <c r="F17" s="106"/>
      <c r="G17" s="106"/>
    </row>
    <row r="18" spans="1:7" x14ac:dyDescent="0.2">
      <c r="A18" s="168"/>
      <c r="B18" s="106"/>
      <c r="C18" s="106"/>
      <c r="D18" s="169"/>
      <c r="E18" s="169"/>
      <c r="F18" s="106"/>
      <c r="G18" s="106"/>
    </row>
    <row r="19" spans="1:7" x14ac:dyDescent="0.2">
      <c r="A19" s="168"/>
      <c r="B19" s="106"/>
      <c r="C19" s="106"/>
      <c r="D19" s="169"/>
      <c r="E19" s="169"/>
      <c r="F19" s="106"/>
      <c r="G19" s="106"/>
    </row>
    <row r="20" spans="1:7" x14ac:dyDescent="0.2">
      <c r="A20" s="168"/>
      <c r="B20" s="106"/>
      <c r="C20" s="106"/>
      <c r="D20" s="169"/>
      <c r="E20" s="169"/>
      <c r="F20" s="106"/>
      <c r="G20" s="106"/>
    </row>
    <row r="21" spans="1:7" x14ac:dyDescent="0.2">
      <c r="A21" s="168"/>
      <c r="B21" s="106"/>
      <c r="C21" s="106"/>
      <c r="D21" s="169"/>
      <c r="E21" s="169"/>
      <c r="F21" s="106"/>
      <c r="G21" s="106"/>
    </row>
    <row r="22" spans="1:7" x14ac:dyDescent="0.2">
      <c r="A22" s="168"/>
      <c r="B22" s="106"/>
      <c r="C22" s="106"/>
      <c r="D22" s="169"/>
      <c r="E22" s="169"/>
      <c r="F22" s="106"/>
      <c r="G22" s="106"/>
    </row>
    <row r="23" spans="1:7" x14ac:dyDescent="0.2">
      <c r="A23" s="168"/>
      <c r="B23" s="106"/>
      <c r="C23" s="106"/>
      <c r="D23" s="169"/>
      <c r="E23" s="169"/>
      <c r="F23" s="106"/>
      <c r="G23" s="106"/>
    </row>
    <row r="24" spans="1:7" x14ac:dyDescent="0.2">
      <c r="A24" s="168"/>
      <c r="B24" s="106"/>
      <c r="C24" s="106"/>
      <c r="D24" s="169"/>
      <c r="E24" s="169"/>
      <c r="F24" s="106"/>
      <c r="G24" s="106"/>
    </row>
    <row r="25" spans="1:7" x14ac:dyDescent="0.2">
      <c r="A25" s="168"/>
      <c r="B25" s="106"/>
      <c r="C25" s="106"/>
      <c r="D25" s="169"/>
      <c r="E25" s="169"/>
      <c r="F25" s="106"/>
      <c r="G25" s="106"/>
    </row>
    <row r="26" spans="1:7" x14ac:dyDescent="0.2">
      <c r="A26" s="168"/>
      <c r="B26" s="106"/>
      <c r="C26" s="106"/>
      <c r="D26" s="169"/>
      <c r="E26" s="169"/>
      <c r="F26" s="106"/>
      <c r="G26" s="106"/>
    </row>
    <row r="27" spans="1:7" x14ac:dyDescent="0.2">
      <c r="A27" s="168"/>
      <c r="B27" s="106"/>
      <c r="C27" s="106"/>
      <c r="D27" s="169"/>
      <c r="E27" s="169"/>
      <c r="F27" s="106"/>
      <c r="G27" s="106"/>
    </row>
    <row r="28" spans="1:7" x14ac:dyDescent="0.2">
      <c r="A28" s="168"/>
      <c r="B28" s="106"/>
      <c r="C28" s="106"/>
      <c r="D28" s="169"/>
      <c r="E28" s="169"/>
      <c r="F28" s="106"/>
      <c r="G28" s="106"/>
    </row>
    <row r="29" spans="1:7" x14ac:dyDescent="0.2">
      <c r="A29" s="168"/>
      <c r="B29" s="106"/>
      <c r="C29" s="106"/>
      <c r="D29" s="169"/>
      <c r="E29" s="169"/>
      <c r="F29" s="106"/>
      <c r="G29" s="106"/>
    </row>
    <row r="30" spans="1:7" x14ac:dyDescent="0.2">
      <c r="A30" s="168"/>
      <c r="B30" s="106"/>
      <c r="C30" s="106"/>
      <c r="D30" s="169"/>
      <c r="E30" s="169"/>
      <c r="F30" s="106"/>
      <c r="G30" s="106"/>
    </row>
    <row r="31" spans="1:7" x14ac:dyDescent="0.2">
      <c r="A31" s="168"/>
      <c r="B31" s="106"/>
      <c r="C31" s="106"/>
      <c r="D31" s="169"/>
      <c r="E31" s="169"/>
      <c r="F31" s="106"/>
      <c r="G31" s="106"/>
    </row>
    <row r="32" spans="1:7" x14ac:dyDescent="0.2">
      <c r="A32" s="168"/>
      <c r="B32" s="106"/>
      <c r="C32" s="106"/>
      <c r="D32" s="169"/>
      <c r="E32" s="169"/>
      <c r="F32" s="106"/>
      <c r="G32" s="106"/>
    </row>
    <row r="33" spans="1:7" x14ac:dyDescent="0.2">
      <c r="A33" s="168"/>
      <c r="B33" s="106"/>
      <c r="C33" s="106"/>
      <c r="D33" s="169"/>
      <c r="E33" s="169"/>
      <c r="F33" s="106"/>
      <c r="G33" s="106"/>
    </row>
    <row r="34" spans="1:7" x14ac:dyDescent="0.2">
      <c r="A34" s="168"/>
      <c r="B34" s="106"/>
      <c r="C34" s="106"/>
      <c r="D34" s="169"/>
      <c r="E34" s="169"/>
      <c r="F34" s="106"/>
      <c r="G34" s="106"/>
    </row>
    <row r="35" spans="1:7" x14ac:dyDescent="0.2">
      <c r="A35" s="168"/>
      <c r="B35" s="106"/>
      <c r="C35" s="106"/>
      <c r="D35" s="169"/>
      <c r="E35" s="169"/>
      <c r="F35" s="106"/>
      <c r="G35" s="106"/>
    </row>
    <row r="36" spans="1:7" x14ac:dyDescent="0.2">
      <c r="A36" s="168"/>
      <c r="B36" s="106"/>
      <c r="C36" s="106"/>
      <c r="D36" s="169"/>
      <c r="E36" s="169"/>
      <c r="F36" s="106"/>
      <c r="G36" s="106"/>
    </row>
    <row r="37" spans="1:7" x14ac:dyDescent="0.2">
      <c r="A37" s="168"/>
      <c r="B37" s="106"/>
      <c r="C37" s="106"/>
      <c r="D37" s="169"/>
      <c r="E37" s="169"/>
      <c r="F37" s="106"/>
      <c r="G37" s="106"/>
    </row>
    <row r="38" spans="1:7" x14ac:dyDescent="0.2">
      <c r="A38" s="168"/>
      <c r="B38" s="106"/>
      <c r="C38" s="106"/>
      <c r="D38" s="169"/>
      <c r="E38" s="169"/>
      <c r="F38" s="106"/>
      <c r="G38" s="106"/>
    </row>
    <row r="39" spans="1:7" x14ac:dyDescent="0.2">
      <c r="A39" s="168"/>
      <c r="B39" s="106"/>
      <c r="C39" s="106"/>
      <c r="D39" s="169"/>
      <c r="E39" s="169"/>
      <c r="F39" s="106"/>
      <c r="G39" s="106"/>
    </row>
    <row r="40" spans="1:7" x14ac:dyDescent="0.2">
      <c r="A40" s="168"/>
      <c r="B40" s="106"/>
      <c r="C40" s="106"/>
      <c r="D40" s="169"/>
      <c r="E40" s="169"/>
      <c r="F40" s="106"/>
      <c r="G40" s="106"/>
    </row>
    <row r="41" spans="1:7" x14ac:dyDescent="0.2">
      <c r="A41" s="168"/>
      <c r="B41" s="106"/>
      <c r="C41" s="106"/>
      <c r="D41" s="169"/>
      <c r="E41" s="169"/>
      <c r="F41" s="106"/>
      <c r="G41" s="106"/>
    </row>
    <row r="42" spans="1:7" x14ac:dyDescent="0.2">
      <c r="A42" s="168"/>
      <c r="B42" s="106"/>
      <c r="C42" s="106"/>
      <c r="D42" s="169"/>
      <c r="E42" s="169"/>
      <c r="F42" s="106"/>
      <c r="G42" s="106"/>
    </row>
    <row r="43" spans="1:7" x14ac:dyDescent="0.2">
      <c r="A43" s="168"/>
      <c r="B43" s="106"/>
      <c r="C43" s="106"/>
      <c r="D43" s="169"/>
      <c r="E43" s="169"/>
      <c r="F43" s="106"/>
      <c r="G43" s="106"/>
    </row>
    <row r="44" spans="1:7" x14ac:dyDescent="0.2">
      <c r="A44" s="168"/>
      <c r="B44" s="106"/>
      <c r="C44" s="106"/>
      <c r="D44" s="169"/>
      <c r="E44" s="169"/>
      <c r="F44" s="106"/>
      <c r="G44" s="106"/>
    </row>
    <row r="45" spans="1:7" x14ac:dyDescent="0.2">
      <c r="A45" s="168"/>
      <c r="B45" s="106"/>
      <c r="C45" s="106"/>
      <c r="D45" s="169"/>
      <c r="E45" s="169"/>
      <c r="F45" s="106"/>
      <c r="G45" s="106"/>
    </row>
    <row r="46" spans="1:7" x14ac:dyDescent="0.2">
      <c r="A46" s="168"/>
      <c r="B46" s="106"/>
      <c r="C46" s="106"/>
      <c r="D46" s="169"/>
      <c r="E46" s="169"/>
      <c r="F46" s="106"/>
      <c r="G46" s="106"/>
    </row>
    <row r="47" spans="1:7" x14ac:dyDescent="0.2">
      <c r="A47" s="168"/>
      <c r="B47" s="106"/>
      <c r="C47" s="106"/>
      <c r="D47" s="169"/>
      <c r="E47" s="169"/>
      <c r="F47" s="106"/>
      <c r="G47" s="106"/>
    </row>
    <row r="48" spans="1:7" x14ac:dyDescent="0.2">
      <c r="A48" s="168"/>
      <c r="B48" s="106"/>
      <c r="C48" s="106"/>
      <c r="D48" s="169"/>
      <c r="E48" s="169"/>
      <c r="F48" s="106"/>
      <c r="G48" s="106"/>
    </row>
    <row r="49" spans="1:7" x14ac:dyDescent="0.2">
      <c r="A49" s="168"/>
      <c r="B49" s="106"/>
      <c r="C49" s="106"/>
      <c r="D49" s="169"/>
      <c r="E49" s="169"/>
      <c r="F49" s="106"/>
      <c r="G49" s="106"/>
    </row>
    <row r="50" spans="1:7" x14ac:dyDescent="0.2">
      <c r="A50" s="168"/>
      <c r="B50" s="106"/>
      <c r="C50" s="106"/>
      <c r="D50" s="169"/>
      <c r="E50" s="169"/>
      <c r="F50" s="106"/>
      <c r="G50" s="106"/>
    </row>
    <row r="51" spans="1:7" x14ac:dyDescent="0.2">
      <c r="A51" s="168"/>
      <c r="B51" s="106"/>
      <c r="C51" s="106"/>
      <c r="D51" s="169"/>
      <c r="E51" s="169"/>
      <c r="F51" s="106"/>
      <c r="G51" s="106"/>
    </row>
    <row r="52" spans="1:7" x14ac:dyDescent="0.2">
      <c r="A52" s="168"/>
      <c r="B52" s="106"/>
      <c r="C52" s="106"/>
      <c r="D52" s="169"/>
      <c r="E52" s="169"/>
      <c r="F52" s="106"/>
      <c r="G52" s="106"/>
    </row>
    <row r="53" spans="1:7" x14ac:dyDescent="0.2">
      <c r="A53" s="168"/>
      <c r="B53" s="106"/>
      <c r="C53" s="106"/>
      <c r="D53" s="169"/>
      <c r="E53" s="169"/>
      <c r="F53" s="106"/>
      <c r="G53" s="106"/>
    </row>
    <row r="54" spans="1:7" x14ac:dyDescent="0.2">
      <c r="A54" s="168"/>
      <c r="B54" s="106"/>
      <c r="C54" s="106"/>
      <c r="D54" s="169"/>
      <c r="E54" s="169"/>
      <c r="F54" s="106"/>
      <c r="G54" s="106"/>
    </row>
    <row r="55" spans="1:7" x14ac:dyDescent="0.2">
      <c r="A55" s="168"/>
      <c r="B55" s="106"/>
      <c r="C55" s="106"/>
      <c r="D55" s="169"/>
      <c r="E55" s="169"/>
      <c r="F55" s="106"/>
      <c r="G55" s="106"/>
    </row>
    <row r="56" spans="1:7" x14ac:dyDescent="0.2">
      <c r="A56" s="168"/>
      <c r="B56" s="106"/>
      <c r="C56" s="106"/>
      <c r="D56" s="169"/>
      <c r="E56" s="169"/>
      <c r="F56" s="106"/>
      <c r="G56" s="106"/>
    </row>
    <row r="57" spans="1:7" x14ac:dyDescent="0.2">
      <c r="A57" s="168"/>
      <c r="B57" s="106"/>
      <c r="C57" s="106"/>
      <c r="D57" s="169"/>
      <c r="E57" s="169"/>
      <c r="F57" s="106"/>
      <c r="G57" s="106"/>
    </row>
    <row r="58" spans="1:7" x14ac:dyDescent="0.2">
      <c r="A58" s="168"/>
      <c r="B58" s="106"/>
      <c r="C58" s="106"/>
      <c r="D58" s="169"/>
      <c r="E58" s="169"/>
      <c r="F58" s="106"/>
      <c r="G58" s="106"/>
    </row>
    <row r="59" spans="1:7" x14ac:dyDescent="0.2">
      <c r="A59" s="168"/>
      <c r="B59" s="106"/>
      <c r="C59" s="106"/>
      <c r="D59" s="169"/>
      <c r="E59" s="169"/>
      <c r="F59" s="106"/>
      <c r="G59" s="106"/>
    </row>
    <row r="60" spans="1:7" x14ac:dyDescent="0.2">
      <c r="A60" s="168"/>
      <c r="B60" s="106"/>
      <c r="C60" s="106"/>
      <c r="D60" s="169"/>
      <c r="E60" s="169"/>
      <c r="F60" s="106"/>
      <c r="G60" s="106"/>
    </row>
    <row r="61" spans="1:7" x14ac:dyDescent="0.2">
      <c r="A61" s="168"/>
      <c r="B61" s="106"/>
      <c r="C61" s="106"/>
      <c r="D61" s="169"/>
      <c r="E61" s="169"/>
      <c r="F61" s="106"/>
      <c r="G61" s="106"/>
    </row>
    <row r="62" spans="1:7" x14ac:dyDescent="0.2">
      <c r="A62" s="168"/>
      <c r="B62" s="106"/>
      <c r="C62" s="106"/>
      <c r="D62" s="169"/>
      <c r="E62" s="169"/>
      <c r="F62" s="106"/>
      <c r="G62" s="106"/>
    </row>
    <row r="63" spans="1:7" x14ac:dyDescent="0.2">
      <c r="A63" s="168"/>
      <c r="B63" s="106"/>
      <c r="C63" s="106"/>
      <c r="D63" s="169"/>
      <c r="E63" s="169"/>
      <c r="F63" s="106"/>
      <c r="G63" s="106"/>
    </row>
    <row r="64" spans="1:7" x14ac:dyDescent="0.2">
      <c r="A64" s="168"/>
      <c r="B64" s="106"/>
      <c r="C64" s="106"/>
      <c r="D64" s="169"/>
      <c r="E64" s="169"/>
      <c r="F64" s="106"/>
      <c r="G64" s="106"/>
    </row>
    <row r="65" spans="1:7" x14ac:dyDescent="0.2">
      <c r="A65" s="168"/>
      <c r="B65" s="106"/>
      <c r="C65" s="106"/>
      <c r="D65" s="169"/>
      <c r="E65" s="169"/>
      <c r="F65" s="106"/>
      <c r="G65" s="106"/>
    </row>
    <row r="66" spans="1:7" x14ac:dyDescent="0.2">
      <c r="A66" s="168"/>
      <c r="B66" s="106"/>
      <c r="C66" s="106"/>
      <c r="D66" s="169"/>
      <c r="E66" s="169"/>
      <c r="F66" s="106"/>
      <c r="G66" s="106"/>
    </row>
    <row r="67" spans="1:7" x14ac:dyDescent="0.2">
      <c r="A67" s="168"/>
      <c r="B67" s="106"/>
      <c r="C67" s="106"/>
      <c r="D67" s="169"/>
      <c r="E67" s="169"/>
      <c r="F67" s="106"/>
      <c r="G67" s="106"/>
    </row>
    <row r="68" spans="1:7" x14ac:dyDescent="0.2">
      <c r="A68" s="168"/>
      <c r="B68" s="106"/>
      <c r="C68" s="106"/>
      <c r="D68" s="169"/>
      <c r="E68" s="169"/>
      <c r="F68" s="106"/>
      <c r="G68" s="106"/>
    </row>
    <row r="69" spans="1:7" x14ac:dyDescent="0.2">
      <c r="A69" s="168"/>
      <c r="B69" s="106"/>
      <c r="C69" s="106"/>
      <c r="D69" s="169"/>
      <c r="E69" s="169"/>
      <c r="F69" s="106"/>
      <c r="G69" s="106"/>
    </row>
    <row r="70" spans="1:7" x14ac:dyDescent="0.2">
      <c r="A70" s="168"/>
      <c r="B70" s="106"/>
      <c r="C70" s="106"/>
      <c r="D70" s="169"/>
      <c r="E70" s="169"/>
      <c r="F70" s="106"/>
      <c r="G70" s="106"/>
    </row>
    <row r="71" spans="1:7" x14ac:dyDescent="0.2">
      <c r="A71" s="168"/>
      <c r="B71" s="106"/>
      <c r="C71" s="106"/>
      <c r="D71" s="169"/>
      <c r="E71" s="169"/>
      <c r="F71" s="106"/>
      <c r="G71" s="106"/>
    </row>
    <row r="72" spans="1:7" x14ac:dyDescent="0.2">
      <c r="A72" s="168"/>
      <c r="B72" s="106"/>
      <c r="C72" s="106"/>
      <c r="D72" s="169"/>
      <c r="E72" s="169"/>
      <c r="F72" s="106"/>
      <c r="G72" s="106"/>
    </row>
    <row r="73" spans="1:7" x14ac:dyDescent="0.2">
      <c r="A73" s="168"/>
      <c r="B73" s="106"/>
      <c r="C73" s="106"/>
      <c r="D73" s="169"/>
      <c r="E73" s="169"/>
      <c r="F73" s="106"/>
      <c r="G73" s="106"/>
    </row>
    <row r="74" spans="1:7" x14ac:dyDescent="0.2">
      <c r="A74" s="168"/>
      <c r="B74" s="106"/>
      <c r="C74" s="106"/>
      <c r="D74" s="169"/>
      <c r="E74" s="169"/>
      <c r="F74" s="106"/>
      <c r="G74" s="106"/>
    </row>
    <row r="75" spans="1:7" x14ac:dyDescent="0.2">
      <c r="A75" s="168"/>
      <c r="B75" s="106"/>
      <c r="C75" s="106"/>
      <c r="D75" s="169"/>
      <c r="E75" s="169"/>
      <c r="F75" s="106"/>
      <c r="G75" s="106"/>
    </row>
    <row r="76" spans="1:7" x14ac:dyDescent="0.2">
      <c r="A76" s="168"/>
      <c r="B76" s="106"/>
      <c r="C76" s="106"/>
      <c r="D76" s="169"/>
      <c r="E76" s="169"/>
      <c r="F76" s="106"/>
      <c r="G76" s="106"/>
    </row>
    <row r="77" spans="1:7" x14ac:dyDescent="0.2">
      <c r="A77" s="168"/>
      <c r="B77" s="106"/>
      <c r="C77" s="106"/>
      <c r="D77" s="169"/>
      <c r="E77" s="169"/>
      <c r="F77" s="106"/>
      <c r="G77" s="106"/>
    </row>
    <row r="78" spans="1:7" x14ac:dyDescent="0.2">
      <c r="A78" s="168"/>
      <c r="B78" s="106"/>
      <c r="C78" s="106"/>
      <c r="D78" s="169"/>
      <c r="E78" s="169"/>
      <c r="F78" s="106"/>
      <c r="G78" s="106"/>
    </row>
    <row r="79" spans="1:7" x14ac:dyDescent="0.2">
      <c r="A79" s="168"/>
      <c r="B79" s="106"/>
      <c r="C79" s="106"/>
      <c r="D79" s="169"/>
      <c r="E79" s="169"/>
      <c r="F79" s="106"/>
      <c r="G79" s="106"/>
    </row>
    <row r="80" spans="1:7" x14ac:dyDescent="0.2">
      <c r="A80" s="168"/>
      <c r="B80" s="106"/>
      <c r="C80" s="106"/>
      <c r="D80" s="169"/>
      <c r="E80" s="169"/>
      <c r="F80" s="106"/>
      <c r="G80" s="106"/>
    </row>
    <row r="81" spans="1:7" x14ac:dyDescent="0.2">
      <c r="A81" s="168"/>
      <c r="B81" s="106"/>
      <c r="C81" s="106"/>
      <c r="D81" s="169"/>
      <c r="E81" s="169"/>
      <c r="F81" s="106"/>
      <c r="G81" s="106"/>
    </row>
    <row r="82" spans="1:7" x14ac:dyDescent="0.2">
      <c r="A82" s="168"/>
      <c r="B82" s="106"/>
      <c r="C82" s="106"/>
      <c r="D82" s="169"/>
      <c r="E82" s="169"/>
      <c r="F82" s="106"/>
      <c r="G82" s="106"/>
    </row>
    <row r="83" spans="1:7" x14ac:dyDescent="0.2">
      <c r="A83" s="168"/>
      <c r="B83" s="106"/>
      <c r="C83" s="106"/>
      <c r="D83" s="169"/>
      <c r="E83" s="169"/>
      <c r="F83" s="106"/>
      <c r="G83" s="106"/>
    </row>
    <row r="84" spans="1:7" x14ac:dyDescent="0.2">
      <c r="A84" s="168"/>
      <c r="B84" s="106"/>
      <c r="C84" s="106"/>
      <c r="D84" s="169"/>
      <c r="E84" s="169"/>
      <c r="F84" s="106"/>
      <c r="G84" s="106"/>
    </row>
    <row r="85" spans="1:7" x14ac:dyDescent="0.2">
      <c r="A85" s="168"/>
      <c r="B85" s="106"/>
      <c r="C85" s="106"/>
      <c r="D85" s="169"/>
      <c r="E85" s="169"/>
      <c r="F85" s="106"/>
      <c r="G85" s="106"/>
    </row>
    <row r="86" spans="1:7" x14ac:dyDescent="0.2">
      <c r="A86" s="168"/>
      <c r="B86" s="106"/>
      <c r="C86" s="106"/>
      <c r="D86" s="169"/>
      <c r="E86" s="169"/>
      <c r="F86" s="106"/>
      <c r="G86" s="106"/>
    </row>
    <row r="87" spans="1:7" x14ac:dyDescent="0.2">
      <c r="A87" s="168"/>
      <c r="B87" s="106"/>
      <c r="C87" s="106"/>
      <c r="D87" s="169"/>
      <c r="E87" s="169"/>
      <c r="F87" s="106"/>
      <c r="G87" s="106"/>
    </row>
    <row r="88" spans="1:7" x14ac:dyDescent="0.2">
      <c r="A88" s="168"/>
      <c r="B88" s="106"/>
      <c r="C88" s="106"/>
      <c r="D88" s="169"/>
      <c r="E88" s="169"/>
      <c r="F88" s="106"/>
      <c r="G88" s="106"/>
    </row>
    <row r="89" spans="1:7" x14ac:dyDescent="0.2">
      <c r="A89" s="168"/>
      <c r="B89" s="106"/>
      <c r="C89" s="106"/>
      <c r="D89" s="169"/>
      <c r="E89" s="169"/>
      <c r="F89" s="106"/>
      <c r="G89" s="106"/>
    </row>
    <row r="90" spans="1:7" x14ac:dyDescent="0.2">
      <c r="A90" s="168"/>
      <c r="B90" s="106"/>
      <c r="C90" s="106"/>
      <c r="D90" s="169"/>
      <c r="E90" s="169"/>
      <c r="F90" s="106"/>
      <c r="G90" s="106"/>
    </row>
    <row r="91" spans="1:7" x14ac:dyDescent="0.2">
      <c r="A91" s="168"/>
      <c r="B91" s="106"/>
      <c r="C91" s="106"/>
      <c r="D91" s="169"/>
      <c r="E91" s="169"/>
      <c r="F91" s="106"/>
      <c r="G91" s="106"/>
    </row>
    <row r="92" spans="1:7" x14ac:dyDescent="0.2">
      <c r="A92" s="168"/>
      <c r="B92" s="106"/>
      <c r="C92" s="106"/>
      <c r="D92" s="169"/>
      <c r="E92" s="169"/>
      <c r="F92" s="106"/>
      <c r="G92" s="106"/>
    </row>
    <row r="93" spans="1:7" x14ac:dyDescent="0.2">
      <c r="A93" s="168"/>
      <c r="B93" s="106"/>
      <c r="C93" s="106"/>
      <c r="D93" s="169"/>
      <c r="E93" s="169"/>
      <c r="F93" s="106"/>
      <c r="G93" s="106"/>
    </row>
    <row r="94" spans="1:7" x14ac:dyDescent="0.2">
      <c r="A94" s="168"/>
      <c r="B94" s="106"/>
      <c r="C94" s="106"/>
      <c r="D94" s="169"/>
      <c r="E94" s="169"/>
      <c r="F94" s="106"/>
      <c r="G94" s="106"/>
    </row>
    <row r="95" spans="1:7" x14ac:dyDescent="0.2">
      <c r="A95" s="168"/>
      <c r="B95" s="106"/>
      <c r="C95" s="106"/>
      <c r="D95" s="169"/>
      <c r="E95" s="169"/>
      <c r="F95" s="106"/>
      <c r="G95" s="106"/>
    </row>
    <row r="96" spans="1:7" x14ac:dyDescent="0.2">
      <c r="A96" s="168"/>
      <c r="B96" s="106"/>
      <c r="C96" s="106"/>
      <c r="D96" s="169"/>
      <c r="E96" s="169"/>
      <c r="F96" s="106"/>
      <c r="G96" s="106"/>
    </row>
    <row r="97" spans="1:7" x14ac:dyDescent="0.2">
      <c r="A97" s="168"/>
      <c r="B97" s="106"/>
      <c r="C97" s="106"/>
      <c r="D97" s="169"/>
      <c r="E97" s="169"/>
      <c r="F97" s="106"/>
      <c r="G97" s="106"/>
    </row>
    <row r="98" spans="1:7" x14ac:dyDescent="0.2">
      <c r="A98" s="168"/>
      <c r="B98" s="106"/>
      <c r="C98" s="106"/>
      <c r="D98" s="169"/>
      <c r="E98" s="169"/>
      <c r="F98" s="106"/>
      <c r="G98" s="106"/>
    </row>
    <row r="99" spans="1:7" x14ac:dyDescent="0.2">
      <c r="A99" s="168"/>
      <c r="B99" s="106"/>
      <c r="C99" s="106"/>
      <c r="D99" s="169"/>
      <c r="E99" s="169"/>
      <c r="F99" s="106"/>
      <c r="G99" s="106"/>
    </row>
    <row r="100" spans="1:7" x14ac:dyDescent="0.2">
      <c r="A100" s="168"/>
      <c r="B100" s="106"/>
      <c r="C100" s="106"/>
      <c r="D100" s="169"/>
      <c r="E100" s="169"/>
      <c r="F100" s="106"/>
      <c r="G100" s="106"/>
    </row>
    <row r="101" spans="1:7" x14ac:dyDescent="0.2">
      <c r="A101" s="168"/>
      <c r="B101" s="106"/>
      <c r="C101" s="106"/>
      <c r="D101" s="169"/>
      <c r="E101" s="169"/>
      <c r="F101" s="106"/>
      <c r="G101" s="106"/>
    </row>
    <row r="102" spans="1:7" x14ac:dyDescent="0.2">
      <c r="A102" s="168"/>
      <c r="B102" s="106"/>
      <c r="C102" s="106"/>
      <c r="D102" s="169"/>
      <c r="E102" s="169"/>
      <c r="F102" s="106"/>
      <c r="G102" s="106"/>
    </row>
    <row r="103" spans="1:7" x14ac:dyDescent="0.2">
      <c r="A103" s="168"/>
      <c r="B103" s="106"/>
      <c r="C103" s="106"/>
      <c r="D103" s="169"/>
      <c r="E103" s="169"/>
      <c r="F103" s="106"/>
      <c r="G103" s="106"/>
    </row>
    <row r="104" spans="1:7" x14ac:dyDescent="0.2">
      <c r="A104" s="168"/>
      <c r="B104" s="106"/>
      <c r="C104" s="106"/>
      <c r="D104" s="169"/>
      <c r="E104" s="169"/>
      <c r="F104" s="106"/>
      <c r="G104" s="106"/>
    </row>
    <row r="105" spans="1:7" x14ac:dyDescent="0.2">
      <c r="A105" s="168"/>
      <c r="B105" s="106"/>
      <c r="C105" s="106"/>
      <c r="D105" s="169"/>
      <c r="E105" s="169"/>
      <c r="F105" s="106"/>
      <c r="G105" s="106"/>
    </row>
    <row r="106" spans="1:7" x14ac:dyDescent="0.2">
      <c r="A106" s="168"/>
      <c r="B106" s="106"/>
      <c r="C106" s="106"/>
      <c r="D106" s="169"/>
      <c r="E106" s="169"/>
      <c r="F106" s="106"/>
      <c r="G106" s="106"/>
    </row>
    <row r="107" spans="1:7" x14ac:dyDescent="0.2">
      <c r="A107" s="168"/>
      <c r="B107" s="106"/>
      <c r="C107" s="106"/>
      <c r="D107" s="169"/>
      <c r="E107" s="169"/>
      <c r="F107" s="106"/>
      <c r="G107" s="106"/>
    </row>
    <row r="108" spans="1:7" x14ac:dyDescent="0.2">
      <c r="A108" s="168"/>
      <c r="B108" s="106"/>
      <c r="C108" s="106"/>
      <c r="D108" s="169"/>
      <c r="E108" s="169"/>
      <c r="F108" s="106"/>
      <c r="G108" s="106"/>
    </row>
    <row r="109" spans="1:7" x14ac:dyDescent="0.2">
      <c r="A109" s="168"/>
      <c r="B109" s="106"/>
      <c r="C109" s="106"/>
      <c r="D109" s="169"/>
      <c r="E109" s="169"/>
      <c r="F109" s="106"/>
      <c r="G109" s="106"/>
    </row>
    <row r="110" spans="1:7" x14ac:dyDescent="0.2">
      <c r="A110" s="168"/>
      <c r="B110" s="106"/>
      <c r="C110" s="106"/>
      <c r="D110" s="169"/>
      <c r="E110" s="169"/>
      <c r="F110" s="106"/>
      <c r="G110" s="106"/>
    </row>
    <row r="111" spans="1:7" x14ac:dyDescent="0.2">
      <c r="A111" s="168"/>
      <c r="B111" s="106"/>
      <c r="C111" s="106"/>
      <c r="D111" s="169"/>
      <c r="E111" s="169"/>
      <c r="F111" s="106"/>
      <c r="G111" s="106"/>
    </row>
    <row r="112" spans="1:7" x14ac:dyDescent="0.2">
      <c r="A112" s="168"/>
      <c r="B112" s="106"/>
      <c r="C112" s="106"/>
      <c r="D112" s="169"/>
      <c r="E112" s="169"/>
      <c r="F112" s="106"/>
      <c r="G112" s="106"/>
    </row>
    <row r="113" spans="1:7" x14ac:dyDescent="0.2">
      <c r="A113" s="168"/>
      <c r="B113" s="106"/>
      <c r="C113" s="106"/>
      <c r="D113" s="169"/>
      <c r="E113" s="169"/>
      <c r="F113" s="106"/>
      <c r="G113" s="106"/>
    </row>
    <row r="114" spans="1:7" x14ac:dyDescent="0.2">
      <c r="A114" s="168"/>
      <c r="B114" s="106"/>
      <c r="C114" s="106"/>
      <c r="D114" s="169"/>
      <c r="E114" s="169"/>
      <c r="F114" s="106"/>
      <c r="G114" s="106"/>
    </row>
    <row r="115" spans="1:7" x14ac:dyDescent="0.2">
      <c r="A115" s="168"/>
      <c r="B115" s="106"/>
      <c r="C115" s="106"/>
      <c r="D115" s="169"/>
      <c r="E115" s="169"/>
      <c r="F115" s="106"/>
      <c r="G115" s="106"/>
    </row>
    <row r="116" spans="1:7" x14ac:dyDescent="0.2">
      <c r="A116" s="168"/>
      <c r="B116" s="106"/>
      <c r="C116" s="106"/>
      <c r="D116" s="169"/>
      <c r="E116" s="169"/>
      <c r="F116" s="106"/>
      <c r="G116" s="106"/>
    </row>
    <row r="117" spans="1:7" x14ac:dyDescent="0.2">
      <c r="A117" s="168"/>
      <c r="B117" s="106"/>
      <c r="C117" s="106"/>
      <c r="D117" s="169"/>
      <c r="E117" s="169"/>
      <c r="F117" s="106"/>
      <c r="G117" s="106"/>
    </row>
    <row r="118" spans="1:7" x14ac:dyDescent="0.2">
      <c r="A118" s="168"/>
      <c r="B118" s="106"/>
      <c r="C118" s="106"/>
      <c r="D118" s="169"/>
      <c r="E118" s="169"/>
      <c r="F118" s="106"/>
      <c r="G118" s="106"/>
    </row>
    <row r="119" spans="1:7" x14ac:dyDescent="0.2">
      <c r="A119" s="168"/>
      <c r="B119" s="106"/>
      <c r="C119" s="106"/>
      <c r="D119" s="169"/>
      <c r="E119" s="169"/>
      <c r="F119" s="106"/>
      <c r="G119" s="106"/>
    </row>
    <row r="120" spans="1:7" x14ac:dyDescent="0.2">
      <c r="A120" s="168"/>
      <c r="B120" s="106"/>
      <c r="C120" s="106"/>
      <c r="D120" s="169"/>
      <c r="E120" s="169"/>
      <c r="F120" s="106"/>
      <c r="G120" s="106"/>
    </row>
    <row r="121" spans="1:7" x14ac:dyDescent="0.2">
      <c r="A121" s="168"/>
      <c r="B121" s="106"/>
      <c r="C121" s="106"/>
      <c r="D121" s="169"/>
      <c r="E121" s="169"/>
      <c r="F121" s="106"/>
      <c r="G121" s="106"/>
    </row>
    <row r="122" spans="1:7" x14ac:dyDescent="0.2">
      <c r="A122" s="168"/>
      <c r="B122" s="106"/>
      <c r="C122" s="106"/>
      <c r="D122" s="169"/>
      <c r="E122" s="169"/>
      <c r="F122" s="106"/>
      <c r="G122" s="106"/>
    </row>
    <row r="123" spans="1:7" x14ac:dyDescent="0.2">
      <c r="A123" s="168"/>
      <c r="B123" s="106"/>
      <c r="C123" s="106"/>
      <c r="D123" s="169"/>
      <c r="E123" s="169"/>
      <c r="F123" s="106"/>
      <c r="G123" s="106"/>
    </row>
    <row r="124" spans="1:7" x14ac:dyDescent="0.2">
      <c r="A124" s="168"/>
      <c r="B124" s="106"/>
      <c r="C124" s="106"/>
      <c r="D124" s="169"/>
      <c r="E124" s="169"/>
      <c r="F124" s="106"/>
      <c r="G124" s="106"/>
    </row>
    <row r="125" spans="1:7" x14ac:dyDescent="0.2">
      <c r="A125" s="168"/>
      <c r="B125" s="106"/>
      <c r="C125" s="106"/>
      <c r="D125" s="169"/>
      <c r="E125" s="169"/>
      <c r="F125" s="106"/>
      <c r="G125" s="106"/>
    </row>
    <row r="126" spans="1:7" x14ac:dyDescent="0.2">
      <c r="A126" s="168"/>
      <c r="B126" s="106"/>
      <c r="C126" s="106"/>
      <c r="D126" s="169"/>
      <c r="E126" s="169"/>
      <c r="F126" s="106"/>
      <c r="G126" s="106"/>
    </row>
    <row r="127" spans="1:7" x14ac:dyDescent="0.2">
      <c r="A127" s="168"/>
      <c r="B127" s="106"/>
      <c r="C127" s="106"/>
      <c r="D127" s="169"/>
      <c r="E127" s="169"/>
      <c r="F127" s="106"/>
      <c r="G127" s="106"/>
    </row>
    <row r="128" spans="1:7" x14ac:dyDescent="0.2">
      <c r="A128" s="168"/>
      <c r="B128" s="106"/>
      <c r="C128" s="106"/>
      <c r="D128" s="169"/>
      <c r="E128" s="169"/>
      <c r="F128" s="106"/>
      <c r="G128" s="106"/>
    </row>
    <row r="129" spans="1:7" x14ac:dyDescent="0.2">
      <c r="A129" s="168"/>
      <c r="B129" s="106"/>
      <c r="C129" s="106"/>
      <c r="D129" s="169"/>
      <c r="E129" s="169"/>
      <c r="F129" s="106"/>
      <c r="G129" s="106"/>
    </row>
    <row r="130" spans="1:7" x14ac:dyDescent="0.2">
      <c r="A130" s="168"/>
      <c r="B130" s="106"/>
      <c r="C130" s="106"/>
      <c r="D130" s="169"/>
      <c r="E130" s="169"/>
      <c r="F130" s="106"/>
      <c r="G130" s="106"/>
    </row>
    <row r="131" spans="1:7" x14ac:dyDescent="0.2">
      <c r="A131" s="168"/>
      <c r="B131" s="106"/>
      <c r="C131" s="106"/>
      <c r="D131" s="169"/>
      <c r="E131" s="169"/>
      <c r="F131" s="106"/>
      <c r="G131" s="106"/>
    </row>
    <row r="132" spans="1:7" x14ac:dyDescent="0.2">
      <c r="A132" s="168"/>
      <c r="B132" s="106"/>
      <c r="C132" s="106"/>
      <c r="D132" s="169"/>
      <c r="E132" s="169"/>
      <c r="F132" s="106"/>
      <c r="G132" s="106"/>
    </row>
    <row r="133" spans="1:7" x14ac:dyDescent="0.2">
      <c r="A133" s="168"/>
      <c r="B133" s="106"/>
      <c r="C133" s="106"/>
      <c r="D133" s="169"/>
      <c r="E133" s="169"/>
      <c r="F133" s="106"/>
      <c r="G133" s="106"/>
    </row>
    <row r="134" spans="1:7" x14ac:dyDescent="0.2">
      <c r="A134" s="168"/>
      <c r="B134" s="106"/>
      <c r="C134" s="106"/>
      <c r="D134" s="169"/>
      <c r="E134" s="169"/>
      <c r="F134" s="106"/>
      <c r="G134" s="106"/>
    </row>
    <row r="135" spans="1:7" x14ac:dyDescent="0.2">
      <c r="A135" s="168"/>
      <c r="B135" s="106"/>
      <c r="C135" s="106"/>
      <c r="D135" s="169"/>
      <c r="E135" s="169"/>
      <c r="F135" s="106"/>
      <c r="G135" s="106"/>
    </row>
    <row r="136" spans="1:7" x14ac:dyDescent="0.2">
      <c r="A136" s="168"/>
      <c r="B136" s="106"/>
      <c r="C136" s="106"/>
      <c r="D136" s="169"/>
      <c r="E136" s="169"/>
      <c r="F136" s="106"/>
      <c r="G136" s="106"/>
    </row>
    <row r="137" spans="1:7" x14ac:dyDescent="0.2">
      <c r="A137" s="168"/>
      <c r="B137" s="106"/>
      <c r="C137" s="106"/>
      <c r="D137" s="169"/>
      <c r="E137" s="169"/>
      <c r="F137" s="106"/>
      <c r="G137" s="106"/>
    </row>
    <row r="138" spans="1:7" x14ac:dyDescent="0.2">
      <c r="A138" s="168"/>
      <c r="B138" s="106"/>
      <c r="C138" s="106"/>
      <c r="D138" s="169"/>
      <c r="E138" s="169"/>
      <c r="F138" s="106"/>
      <c r="G138" s="106"/>
    </row>
    <row r="139" spans="1:7" x14ac:dyDescent="0.2">
      <c r="A139" s="168"/>
      <c r="B139" s="106"/>
      <c r="C139" s="106"/>
      <c r="D139" s="169"/>
      <c r="E139" s="169"/>
      <c r="F139" s="106"/>
      <c r="G139" s="106"/>
    </row>
    <row r="140" spans="1:7" x14ac:dyDescent="0.2">
      <c r="A140" s="168"/>
      <c r="B140" s="106"/>
      <c r="C140" s="106"/>
      <c r="D140" s="169"/>
      <c r="E140" s="169"/>
      <c r="F140" s="106"/>
      <c r="G140" s="106"/>
    </row>
    <row r="141" spans="1:7" x14ac:dyDescent="0.2">
      <c r="A141" s="168"/>
      <c r="B141" s="106"/>
      <c r="C141" s="106"/>
      <c r="D141" s="169"/>
      <c r="E141" s="169"/>
      <c r="F141" s="106"/>
      <c r="G141" s="106"/>
    </row>
    <row r="142" spans="1:7" x14ac:dyDescent="0.2">
      <c r="A142" s="168"/>
      <c r="B142" s="106"/>
      <c r="C142" s="106"/>
      <c r="D142" s="169"/>
      <c r="E142" s="169"/>
      <c r="F142" s="106"/>
      <c r="G142" s="106"/>
    </row>
    <row r="143" spans="1:7" x14ac:dyDescent="0.2">
      <c r="A143" s="168"/>
      <c r="B143" s="106"/>
      <c r="C143" s="106"/>
      <c r="D143" s="169"/>
      <c r="E143" s="169"/>
      <c r="F143" s="106"/>
      <c r="G143" s="106"/>
    </row>
    <row r="144" spans="1:7" x14ac:dyDescent="0.2">
      <c r="A144" s="168"/>
      <c r="B144" s="106"/>
      <c r="C144" s="106"/>
      <c r="D144" s="169"/>
      <c r="E144" s="169"/>
      <c r="F144" s="106"/>
      <c r="G144" s="106"/>
    </row>
    <row r="145" spans="1:7" x14ac:dyDescent="0.2">
      <c r="A145" s="168"/>
      <c r="B145" s="106"/>
      <c r="C145" s="106"/>
      <c r="D145" s="169"/>
      <c r="E145" s="169"/>
      <c r="F145" s="106"/>
      <c r="G145" s="106"/>
    </row>
    <row r="146" spans="1:7" x14ac:dyDescent="0.2">
      <c r="A146" s="168"/>
      <c r="B146" s="106"/>
      <c r="C146" s="106"/>
      <c r="D146" s="169"/>
      <c r="E146" s="169"/>
      <c r="F146" s="106"/>
      <c r="G146" s="106"/>
    </row>
    <row r="147" spans="1:7" x14ac:dyDescent="0.2">
      <c r="A147" s="168"/>
      <c r="B147" s="106"/>
      <c r="C147" s="106"/>
      <c r="D147" s="169"/>
      <c r="E147" s="169"/>
      <c r="F147" s="106"/>
      <c r="G147" s="106"/>
    </row>
    <row r="148" spans="1:7" x14ac:dyDescent="0.2">
      <c r="A148" s="168"/>
      <c r="B148" s="106"/>
      <c r="C148" s="106"/>
      <c r="D148" s="169"/>
      <c r="E148" s="169"/>
      <c r="F148" s="106"/>
      <c r="G148" s="106"/>
    </row>
    <row r="149" spans="1:7" x14ac:dyDescent="0.2">
      <c r="A149" s="168"/>
      <c r="B149" s="106"/>
      <c r="C149" s="106"/>
      <c r="D149" s="169"/>
      <c r="E149" s="169"/>
      <c r="F149" s="106"/>
      <c r="G149" s="106"/>
    </row>
    <row r="150" spans="1:7" x14ac:dyDescent="0.2">
      <c r="A150" s="168"/>
      <c r="B150" s="106"/>
      <c r="C150" s="106"/>
      <c r="D150" s="169"/>
      <c r="E150" s="169"/>
      <c r="F150" s="106"/>
      <c r="G150" s="106"/>
    </row>
    <row r="151" spans="1:7" x14ac:dyDescent="0.2">
      <c r="A151" s="168"/>
      <c r="B151" s="106"/>
      <c r="C151" s="106"/>
      <c r="D151" s="169"/>
      <c r="E151" s="169"/>
      <c r="F151" s="106"/>
      <c r="G151" s="106"/>
    </row>
    <row r="152" spans="1:7" x14ac:dyDescent="0.2">
      <c r="A152" s="168"/>
      <c r="B152" s="106"/>
      <c r="C152" s="106"/>
      <c r="D152" s="169"/>
      <c r="E152" s="169"/>
      <c r="F152" s="106"/>
      <c r="G152" s="106"/>
    </row>
    <row r="153" spans="1:7" x14ac:dyDescent="0.2">
      <c r="A153" s="168"/>
      <c r="B153" s="106"/>
      <c r="C153" s="106"/>
      <c r="D153" s="169"/>
      <c r="E153" s="169"/>
      <c r="F153" s="106"/>
      <c r="G153" s="106"/>
    </row>
    <row r="154" spans="1:7" x14ac:dyDescent="0.2">
      <c r="A154" s="168"/>
      <c r="B154" s="106"/>
      <c r="C154" s="106"/>
      <c r="D154" s="169"/>
      <c r="E154" s="169"/>
      <c r="F154" s="106"/>
      <c r="G154" s="106"/>
    </row>
    <row r="155" spans="1:7" x14ac:dyDescent="0.2">
      <c r="A155" s="168"/>
      <c r="B155" s="106"/>
      <c r="C155" s="106"/>
      <c r="D155" s="169"/>
      <c r="E155" s="169"/>
      <c r="F155" s="106"/>
      <c r="G155" s="106"/>
    </row>
    <row r="156" spans="1:7" x14ac:dyDescent="0.2">
      <c r="A156" s="168"/>
      <c r="B156" s="106"/>
      <c r="C156" s="106"/>
      <c r="D156" s="169"/>
      <c r="E156" s="169"/>
      <c r="F156" s="106"/>
      <c r="G156" s="106"/>
    </row>
    <row r="157" spans="1:7" x14ac:dyDescent="0.2">
      <c r="A157" s="168"/>
      <c r="B157" s="106"/>
      <c r="C157" s="106"/>
      <c r="D157" s="169"/>
      <c r="E157" s="169"/>
      <c r="F157" s="106"/>
      <c r="G157" s="106"/>
    </row>
    <row r="158" spans="1:7" x14ac:dyDescent="0.2">
      <c r="A158" s="168"/>
      <c r="B158" s="106"/>
      <c r="C158" s="106"/>
      <c r="D158" s="169"/>
      <c r="E158" s="169"/>
      <c r="F158" s="106"/>
      <c r="G158" s="106"/>
    </row>
    <row r="159" spans="1:7" x14ac:dyDescent="0.2">
      <c r="A159" s="168"/>
      <c r="B159" s="106"/>
      <c r="C159" s="106"/>
      <c r="D159" s="169"/>
      <c r="E159" s="169"/>
      <c r="F159" s="106"/>
      <c r="G159" s="106"/>
    </row>
    <row r="160" spans="1:7" x14ac:dyDescent="0.2">
      <c r="A160" s="168"/>
      <c r="B160" s="106"/>
      <c r="C160" s="106"/>
      <c r="D160" s="169"/>
      <c r="E160" s="169"/>
      <c r="F160" s="106"/>
      <c r="G160" s="106"/>
    </row>
    <row r="161" spans="1:7" x14ac:dyDescent="0.2">
      <c r="A161" s="168"/>
      <c r="B161" s="106"/>
      <c r="C161" s="106"/>
      <c r="D161" s="169"/>
      <c r="E161" s="169"/>
      <c r="F161" s="106"/>
      <c r="G161" s="106"/>
    </row>
    <row r="162" spans="1:7" x14ac:dyDescent="0.2">
      <c r="A162" s="168"/>
      <c r="B162" s="106"/>
      <c r="C162" s="106"/>
      <c r="D162" s="169"/>
      <c r="E162" s="169"/>
      <c r="F162" s="106"/>
      <c r="G162" s="106"/>
    </row>
    <row r="163" spans="1:7" x14ac:dyDescent="0.2">
      <c r="A163" s="168"/>
      <c r="B163" s="106"/>
      <c r="C163" s="106"/>
      <c r="D163" s="169"/>
      <c r="E163" s="169"/>
      <c r="F163" s="106"/>
      <c r="G163" s="106"/>
    </row>
    <row r="164" spans="1:7" x14ac:dyDescent="0.2">
      <c r="A164" s="168"/>
      <c r="B164" s="106"/>
      <c r="C164" s="106"/>
      <c r="D164" s="169"/>
      <c r="E164" s="169"/>
      <c r="F164" s="106"/>
      <c r="G164" s="106"/>
    </row>
    <row r="165" spans="1:7" x14ac:dyDescent="0.2">
      <c r="A165" s="168"/>
      <c r="B165" s="106"/>
      <c r="C165" s="106"/>
      <c r="D165" s="169"/>
      <c r="E165" s="169"/>
      <c r="F165" s="106"/>
      <c r="G165" s="106"/>
    </row>
    <row r="166" spans="1:7" x14ac:dyDescent="0.2">
      <c r="A166" s="168"/>
      <c r="B166" s="106"/>
      <c r="C166" s="106"/>
      <c r="D166" s="169"/>
      <c r="E166" s="169"/>
      <c r="F166" s="106"/>
      <c r="G166" s="106"/>
    </row>
    <row r="167" spans="1:7" x14ac:dyDescent="0.2">
      <c r="A167" s="168"/>
      <c r="B167" s="106"/>
      <c r="C167" s="106"/>
      <c r="D167" s="169"/>
      <c r="E167" s="169"/>
      <c r="F167" s="106"/>
      <c r="G167" s="106"/>
    </row>
    <row r="168" spans="1:7" x14ac:dyDescent="0.2">
      <c r="A168" s="168"/>
      <c r="B168" s="106"/>
      <c r="C168" s="106"/>
      <c r="D168" s="169"/>
      <c r="E168" s="169"/>
      <c r="F168" s="106"/>
      <c r="G168" s="106"/>
    </row>
    <row r="169" spans="1:7" x14ac:dyDescent="0.2">
      <c r="A169" s="168"/>
      <c r="B169" s="106"/>
      <c r="C169" s="106"/>
      <c r="D169" s="169"/>
      <c r="E169" s="169"/>
      <c r="F169" s="106"/>
      <c r="G169" s="106"/>
    </row>
    <row r="170" spans="1:7" x14ac:dyDescent="0.2">
      <c r="A170" s="168"/>
      <c r="B170" s="106"/>
      <c r="C170" s="106"/>
      <c r="D170" s="169"/>
      <c r="E170" s="169"/>
      <c r="F170" s="106"/>
      <c r="G170" s="106"/>
    </row>
    <row r="171" spans="1:7" x14ac:dyDescent="0.2">
      <c r="A171" s="168"/>
      <c r="B171" s="106"/>
      <c r="C171" s="106"/>
      <c r="D171" s="169"/>
      <c r="E171" s="169"/>
      <c r="F171" s="106"/>
      <c r="G171" s="106"/>
    </row>
    <row r="172" spans="1:7" x14ac:dyDescent="0.2">
      <c r="A172" s="168"/>
      <c r="B172" s="106"/>
      <c r="C172" s="106"/>
      <c r="D172" s="169"/>
      <c r="E172" s="169"/>
      <c r="F172" s="106"/>
      <c r="G172" s="106"/>
    </row>
    <row r="173" spans="1:7" x14ac:dyDescent="0.2">
      <c r="A173" s="168"/>
      <c r="B173" s="106"/>
      <c r="C173" s="106"/>
      <c r="D173" s="169"/>
      <c r="E173" s="169"/>
      <c r="F173" s="106"/>
      <c r="G173" s="106"/>
    </row>
    <row r="174" spans="1:7" x14ac:dyDescent="0.2">
      <c r="A174" s="168"/>
      <c r="B174" s="106"/>
      <c r="C174" s="106"/>
      <c r="D174" s="169"/>
      <c r="E174" s="169"/>
      <c r="F174" s="106"/>
      <c r="G174" s="106"/>
    </row>
    <row r="175" spans="1:7" x14ac:dyDescent="0.2">
      <c r="A175" s="168"/>
      <c r="B175" s="106"/>
      <c r="C175" s="106"/>
      <c r="D175" s="169"/>
      <c r="E175" s="169"/>
      <c r="F175" s="106"/>
      <c r="G175" s="106"/>
    </row>
    <row r="176" spans="1:7" x14ac:dyDescent="0.2">
      <c r="A176" s="168"/>
      <c r="B176" s="106"/>
      <c r="C176" s="106"/>
      <c r="D176" s="169"/>
      <c r="E176" s="169"/>
      <c r="F176" s="106"/>
      <c r="G176" s="106"/>
    </row>
    <row r="177" spans="1:7" x14ac:dyDescent="0.2">
      <c r="A177" s="168"/>
      <c r="B177" s="106"/>
      <c r="C177" s="106"/>
      <c r="D177" s="169"/>
      <c r="E177" s="169"/>
      <c r="F177" s="106"/>
      <c r="G177" s="106"/>
    </row>
    <row r="178" spans="1:7" x14ac:dyDescent="0.2">
      <c r="A178" s="168"/>
      <c r="B178" s="106"/>
      <c r="C178" s="106"/>
      <c r="D178" s="169"/>
      <c r="E178" s="169"/>
      <c r="F178" s="106"/>
      <c r="G178" s="106"/>
    </row>
    <row r="179" spans="1:7" x14ac:dyDescent="0.2">
      <c r="A179" s="168"/>
      <c r="B179" s="106"/>
      <c r="C179" s="106"/>
      <c r="D179" s="169"/>
      <c r="E179" s="169"/>
      <c r="F179" s="106"/>
      <c r="G179" s="106"/>
    </row>
    <row r="180" spans="1:7" x14ac:dyDescent="0.2">
      <c r="A180" s="168"/>
      <c r="B180" s="106"/>
      <c r="C180" s="106"/>
      <c r="D180" s="169"/>
      <c r="E180" s="169"/>
      <c r="F180" s="106"/>
      <c r="G180" s="106"/>
    </row>
    <row r="181" spans="1:7" x14ac:dyDescent="0.2">
      <c r="A181" s="168"/>
      <c r="B181" s="106"/>
      <c r="C181" s="106"/>
      <c r="D181" s="169"/>
      <c r="E181" s="169"/>
      <c r="F181" s="106"/>
      <c r="G181" s="106"/>
    </row>
    <row r="182" spans="1:7" x14ac:dyDescent="0.2">
      <c r="A182" s="168"/>
      <c r="B182" s="106"/>
      <c r="C182" s="106"/>
      <c r="D182" s="169"/>
      <c r="E182" s="169"/>
      <c r="F182" s="106"/>
      <c r="G182" s="106"/>
    </row>
    <row r="183" spans="1:7" x14ac:dyDescent="0.2">
      <c r="A183" s="168"/>
      <c r="B183" s="106"/>
      <c r="C183" s="106"/>
      <c r="D183" s="169"/>
      <c r="E183" s="169"/>
      <c r="F183" s="106"/>
      <c r="G183" s="106"/>
    </row>
    <row r="184" spans="1:7" x14ac:dyDescent="0.2">
      <c r="A184" s="168"/>
      <c r="B184" s="106"/>
      <c r="C184" s="106"/>
      <c r="D184" s="169"/>
      <c r="E184" s="169"/>
      <c r="F184" s="106"/>
      <c r="G184" s="106"/>
    </row>
    <row r="185" spans="1:7" x14ac:dyDescent="0.2">
      <c r="A185" s="168"/>
      <c r="B185" s="106"/>
      <c r="C185" s="106"/>
      <c r="D185" s="169"/>
      <c r="E185" s="169"/>
      <c r="F185" s="106"/>
      <c r="G185" s="106"/>
    </row>
    <row r="186" spans="1:7" x14ac:dyDescent="0.2">
      <c r="A186" s="168"/>
      <c r="B186" s="106"/>
      <c r="C186" s="106"/>
      <c r="D186" s="169"/>
      <c r="E186" s="169"/>
      <c r="F186" s="106"/>
      <c r="G186" s="106"/>
    </row>
    <row r="187" spans="1:7" x14ac:dyDescent="0.2">
      <c r="A187" s="168"/>
      <c r="B187" s="106"/>
      <c r="C187" s="106"/>
      <c r="D187" s="169"/>
      <c r="E187" s="169"/>
      <c r="F187" s="106"/>
      <c r="G187" s="106"/>
    </row>
    <row r="188" spans="1:7" x14ac:dyDescent="0.2">
      <c r="A188" s="168"/>
      <c r="B188" s="106"/>
      <c r="C188" s="106"/>
      <c r="D188" s="169"/>
      <c r="E188" s="169"/>
      <c r="F188" s="106"/>
      <c r="G188" s="106"/>
    </row>
    <row r="189" spans="1:7" x14ac:dyDescent="0.2">
      <c r="A189" s="168"/>
      <c r="B189" s="106"/>
      <c r="C189" s="106"/>
      <c r="D189" s="169"/>
      <c r="E189" s="169"/>
      <c r="F189" s="106"/>
      <c r="G189" s="106"/>
    </row>
    <row r="190" spans="1:7" x14ac:dyDescent="0.2">
      <c r="A190" s="168"/>
      <c r="B190" s="106"/>
      <c r="C190" s="106"/>
      <c r="D190" s="169"/>
      <c r="E190" s="169"/>
      <c r="F190" s="106"/>
      <c r="G190" s="106"/>
    </row>
    <row r="191" spans="1:7" x14ac:dyDescent="0.2">
      <c r="A191" s="168"/>
      <c r="B191" s="106"/>
      <c r="C191" s="106"/>
      <c r="D191" s="169"/>
      <c r="E191" s="169"/>
      <c r="F191" s="106"/>
      <c r="G191" s="106"/>
    </row>
    <row r="192" spans="1:7" x14ac:dyDescent="0.2">
      <c r="A192" s="168"/>
      <c r="B192" s="106"/>
      <c r="C192" s="106"/>
      <c r="D192" s="169"/>
      <c r="E192" s="169"/>
      <c r="F192" s="106"/>
      <c r="G192" s="106"/>
    </row>
    <row r="193" spans="1:7" x14ac:dyDescent="0.2">
      <c r="A193" s="168"/>
      <c r="B193" s="106"/>
      <c r="C193" s="106"/>
      <c r="D193" s="169"/>
      <c r="E193" s="169"/>
      <c r="F193" s="106"/>
      <c r="G193" s="106"/>
    </row>
    <row r="194" spans="1:7" x14ac:dyDescent="0.2">
      <c r="A194" s="168"/>
      <c r="B194" s="106"/>
      <c r="C194" s="106"/>
      <c r="D194" s="169"/>
      <c r="E194" s="169"/>
      <c r="F194" s="106"/>
      <c r="G194" s="106"/>
    </row>
    <row r="195" spans="1:7" x14ac:dyDescent="0.2">
      <c r="A195" s="168"/>
      <c r="B195" s="106"/>
      <c r="C195" s="106"/>
      <c r="D195" s="169"/>
      <c r="E195" s="169"/>
      <c r="F195" s="106"/>
      <c r="G195" s="106"/>
    </row>
    <row r="196" spans="1:7" x14ac:dyDescent="0.2">
      <c r="A196" s="168"/>
      <c r="B196" s="106"/>
      <c r="C196" s="106"/>
      <c r="D196" s="169"/>
      <c r="E196" s="169"/>
      <c r="F196" s="106"/>
      <c r="G196" s="106"/>
    </row>
    <row r="197" spans="1:7" x14ac:dyDescent="0.2">
      <c r="A197" s="168"/>
      <c r="B197" s="106"/>
      <c r="C197" s="106"/>
      <c r="D197" s="169"/>
      <c r="E197" s="169"/>
      <c r="F197" s="106"/>
      <c r="G197" s="106"/>
    </row>
    <row r="198" spans="1:7" x14ac:dyDescent="0.2">
      <c r="A198" s="168"/>
      <c r="B198" s="106"/>
      <c r="C198" s="106"/>
      <c r="D198" s="169"/>
      <c r="E198" s="169"/>
      <c r="F198" s="106"/>
      <c r="G198" s="106"/>
    </row>
    <row r="199" spans="1:7" x14ac:dyDescent="0.2">
      <c r="A199" s="168"/>
      <c r="B199" s="106"/>
      <c r="C199" s="106"/>
      <c r="D199" s="169"/>
      <c r="E199" s="169"/>
      <c r="F199" s="106"/>
      <c r="G199" s="106"/>
    </row>
    <row r="200" spans="1:7" x14ac:dyDescent="0.2">
      <c r="A200" s="168"/>
      <c r="B200" s="106"/>
      <c r="C200" s="106"/>
      <c r="D200" s="169"/>
      <c r="E200" s="169"/>
      <c r="F200" s="106"/>
      <c r="G200" s="106"/>
    </row>
    <row r="201" spans="1:7" x14ac:dyDescent="0.2">
      <c r="A201" s="168"/>
      <c r="B201" s="106"/>
      <c r="C201" s="106"/>
      <c r="D201" s="169"/>
      <c r="E201" s="169"/>
      <c r="F201" s="106"/>
      <c r="G201" s="106"/>
    </row>
    <row r="202" spans="1:7" x14ac:dyDescent="0.2">
      <c r="A202" s="168"/>
      <c r="B202" s="106"/>
      <c r="C202" s="106"/>
      <c r="D202" s="169"/>
      <c r="E202" s="169"/>
      <c r="F202" s="106"/>
      <c r="G202" s="106"/>
    </row>
    <row r="203" spans="1:7" x14ac:dyDescent="0.2">
      <c r="A203" s="168"/>
      <c r="B203" s="106"/>
      <c r="C203" s="106"/>
      <c r="D203" s="169"/>
      <c r="E203" s="169"/>
      <c r="F203" s="106"/>
      <c r="G203" s="106"/>
    </row>
  </sheetData>
  <dataValidations count="2">
    <dataValidation type="list" allowBlank="1" showInputMessage="1" showErrorMessage="1" sqref="B4:B203" xr:uid="{CB021903-901C-F147-A51C-E5BABBDA8E13}">
      <formula1>"Styrketrening,Løping,Sykling,Svømming,Karate,Klatring,Annet"</formula1>
    </dataValidation>
    <dataValidation type="list" allowBlank="1" showInputMessage="1" showErrorMessage="1" sqref="F4:F203" xr:uid="{6CB78A22-7F52-8941-B2D4-34BAFEBE6C6F}">
      <formula1>"Rolig (sone 2),Terskel,Hard,Blandet"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37DC-1509-E341-A6E0-04C9DE693463}">
  <sheetPr>
    <tabColor rgb="FF7D3C58"/>
  </sheetPr>
  <dimension ref="B1:O368"/>
  <sheetViews>
    <sheetView showGridLines="0" workbookViewId="0">
      <selection activeCell="L2" sqref="L2"/>
    </sheetView>
  </sheetViews>
  <sheetFormatPr baseColWidth="10" defaultRowHeight="16" x14ac:dyDescent="0.2"/>
  <cols>
    <col min="1" max="1" width="1.6640625" customWidth="1"/>
    <col min="2" max="2" width="16.6640625" customWidth="1"/>
    <col min="3" max="14" width="7.6640625" customWidth="1"/>
    <col min="15" max="15" width="12.33203125" customWidth="1"/>
  </cols>
  <sheetData>
    <row r="1" spans="2:15" ht="21" x14ac:dyDescent="0.25">
      <c r="B1" s="272" t="s">
        <v>101</v>
      </c>
    </row>
    <row r="2" spans="2:15" x14ac:dyDescent="0.2">
      <c r="B2" s="273" t="s">
        <v>225</v>
      </c>
    </row>
    <row r="3" spans="2:15" x14ac:dyDescent="0.2">
      <c r="B3" s="241" t="s">
        <v>102</v>
      </c>
    </row>
    <row r="4" spans="2:15" x14ac:dyDescent="0.2">
      <c r="B4" s="241" t="s">
        <v>103</v>
      </c>
    </row>
    <row r="5" spans="2:15" x14ac:dyDescent="0.2">
      <c r="B5" s="241" t="s">
        <v>104</v>
      </c>
    </row>
    <row r="6" spans="2:15" x14ac:dyDescent="0.2">
      <c r="B6" s="241" t="s">
        <v>105</v>
      </c>
    </row>
    <row r="7" spans="2:15" x14ac:dyDescent="0.2">
      <c r="B7" s="241" t="s">
        <v>106</v>
      </c>
    </row>
    <row r="8" spans="2:15" x14ac:dyDescent="0.2">
      <c r="B8" s="241" t="s">
        <v>107</v>
      </c>
    </row>
    <row r="9" spans="2:15" ht="17" thickBot="1" x14ac:dyDescent="0.25"/>
    <row r="10" spans="2:15" ht="18" customHeight="1" x14ac:dyDescent="0.2">
      <c r="B10" s="215" t="s">
        <v>108</v>
      </c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7"/>
    </row>
    <row r="11" spans="2:15" ht="26" customHeight="1" x14ac:dyDescent="0.2">
      <c r="B11" s="242" t="s">
        <v>5</v>
      </c>
      <c r="C11" s="243" t="s">
        <v>109</v>
      </c>
      <c r="D11" s="244"/>
      <c r="E11" s="245" t="s">
        <v>110</v>
      </c>
      <c r="F11" s="244"/>
      <c r="G11" s="245" t="s">
        <v>48</v>
      </c>
      <c r="H11" s="244"/>
      <c r="I11" s="245" t="s">
        <v>111</v>
      </c>
      <c r="J11" s="244"/>
      <c r="K11" s="245" t="s">
        <v>112</v>
      </c>
      <c r="L11" s="244"/>
      <c r="M11" s="245" t="s">
        <v>113</v>
      </c>
      <c r="N11" s="244"/>
      <c r="O11" s="246" t="s">
        <v>14</v>
      </c>
    </row>
    <row r="12" spans="2:15" x14ac:dyDescent="0.2">
      <c r="B12" s="124">
        <v>46230</v>
      </c>
      <c r="C12" s="247" t="s">
        <v>114</v>
      </c>
      <c r="D12" s="248"/>
      <c r="E12" s="249" t="s">
        <v>115</v>
      </c>
      <c r="F12" s="248"/>
      <c r="G12" s="249" t="s">
        <v>116</v>
      </c>
      <c r="H12" s="248"/>
      <c r="I12" s="249" t="s">
        <v>117</v>
      </c>
      <c r="J12" s="248"/>
      <c r="K12" s="249" t="s">
        <v>118</v>
      </c>
      <c r="L12" s="248"/>
      <c r="M12" s="249" t="s">
        <v>119</v>
      </c>
      <c r="N12" s="248"/>
      <c r="O12" s="137"/>
    </row>
    <row r="13" spans="2:15" x14ac:dyDescent="0.2">
      <c r="B13" s="125"/>
      <c r="C13" s="123" t="s">
        <v>0</v>
      </c>
      <c r="D13" s="132" t="s">
        <v>120</v>
      </c>
      <c r="E13" s="120" t="s">
        <v>0</v>
      </c>
      <c r="F13" s="132" t="s">
        <v>120</v>
      </c>
      <c r="G13" s="120" t="s">
        <v>0</v>
      </c>
      <c r="H13" s="132" t="s">
        <v>120</v>
      </c>
      <c r="I13" s="120" t="s">
        <v>0</v>
      </c>
      <c r="J13" s="132" t="s">
        <v>120</v>
      </c>
      <c r="K13" s="120" t="s">
        <v>0</v>
      </c>
      <c r="L13" s="132" t="s">
        <v>120</v>
      </c>
      <c r="M13" s="120" t="s">
        <v>0</v>
      </c>
      <c r="N13" s="132" t="s">
        <v>120</v>
      </c>
      <c r="O13" s="138"/>
    </row>
    <row r="14" spans="2:15" x14ac:dyDescent="0.2">
      <c r="B14" s="126" t="s">
        <v>17</v>
      </c>
      <c r="C14" s="170">
        <v>20</v>
      </c>
      <c r="D14" s="133"/>
      <c r="E14" s="121"/>
      <c r="F14" s="133"/>
      <c r="G14" s="171">
        <v>20</v>
      </c>
      <c r="H14" s="133"/>
      <c r="I14" s="121"/>
      <c r="J14" s="133"/>
      <c r="K14" s="121"/>
      <c r="L14" s="133"/>
      <c r="M14" s="121"/>
      <c r="N14" s="133"/>
      <c r="O14" s="139">
        <f>C14*D14+E14*F14+G14*H14+I14*J14+K14*L14*0.25+M14*N14*0.25</f>
        <v>0</v>
      </c>
    </row>
    <row r="15" spans="2:15" x14ac:dyDescent="0.2">
      <c r="B15" s="126" t="s">
        <v>18</v>
      </c>
      <c r="C15" s="170">
        <v>40</v>
      </c>
      <c r="D15" s="133"/>
      <c r="E15" s="171">
        <v>77.5</v>
      </c>
      <c r="F15" s="133"/>
      <c r="G15" s="171">
        <v>40</v>
      </c>
      <c r="H15" s="133"/>
      <c r="I15" s="171">
        <v>50</v>
      </c>
      <c r="J15" s="133"/>
      <c r="K15" s="171">
        <v>6</v>
      </c>
      <c r="L15" s="133"/>
      <c r="M15" s="171">
        <v>55</v>
      </c>
      <c r="N15" s="133"/>
      <c r="O15" s="139">
        <f>C15*D15+E15*F15+G15*H15+I15*J15+K15*L15*0.25+M15*N15*0.25</f>
        <v>0</v>
      </c>
    </row>
    <row r="16" spans="2:15" x14ac:dyDescent="0.2">
      <c r="B16" s="126" t="s">
        <v>19</v>
      </c>
      <c r="C16" s="170">
        <v>40</v>
      </c>
      <c r="D16" s="133"/>
      <c r="E16" s="171">
        <v>77.5</v>
      </c>
      <c r="F16" s="133"/>
      <c r="G16" s="171">
        <v>40</v>
      </c>
      <c r="H16" s="133"/>
      <c r="I16" s="171">
        <v>50</v>
      </c>
      <c r="J16" s="133"/>
      <c r="K16" s="171">
        <v>6</v>
      </c>
      <c r="L16" s="133"/>
      <c r="M16" s="171">
        <v>55</v>
      </c>
      <c r="N16" s="133"/>
      <c r="O16" s="139">
        <f>C16*D16+E16*F16+G16*H16+I16*J16+K16*L16*0.25+M16*N16*0.25</f>
        <v>0</v>
      </c>
    </row>
    <row r="17" spans="2:15" x14ac:dyDescent="0.2">
      <c r="B17" s="126" t="s">
        <v>20</v>
      </c>
      <c r="C17" s="170">
        <v>40</v>
      </c>
      <c r="D17" s="133"/>
      <c r="E17" s="171">
        <v>77.5</v>
      </c>
      <c r="F17" s="133"/>
      <c r="G17" s="171">
        <v>40</v>
      </c>
      <c r="H17" s="133"/>
      <c r="I17" s="171">
        <v>50</v>
      </c>
      <c r="J17" s="133"/>
      <c r="K17" s="121"/>
      <c r="L17" s="133"/>
      <c r="M17" s="121"/>
      <c r="N17" s="133"/>
      <c r="O17" s="139">
        <f>C17*D17+E17*F17+G17*H17+I17*J17+K17*L17*0.25+M17*N17*0.25</f>
        <v>0</v>
      </c>
    </row>
    <row r="18" spans="2:15" x14ac:dyDescent="0.2">
      <c r="B18" s="126" t="s">
        <v>21</v>
      </c>
      <c r="C18" s="170">
        <v>40</v>
      </c>
      <c r="D18" s="133"/>
      <c r="E18" s="171">
        <v>77.5</v>
      </c>
      <c r="F18" s="133"/>
      <c r="G18" s="121"/>
      <c r="H18" s="133"/>
      <c r="I18" s="121"/>
      <c r="J18" s="133"/>
      <c r="K18" s="121"/>
      <c r="L18" s="133"/>
      <c r="M18" s="121"/>
      <c r="N18" s="133"/>
      <c r="O18" s="139">
        <f>C18*D18+E18*F18+G18*H18+I18*J18+K18*L18*0.25+M18*N18*0.25</f>
        <v>0</v>
      </c>
    </row>
    <row r="19" spans="2:15" x14ac:dyDescent="0.2">
      <c r="B19" s="127" t="s">
        <v>4</v>
      </c>
      <c r="C19" s="130">
        <f>SUMPRODUCT(C14:C18,D14:D18)</f>
        <v>0</v>
      </c>
      <c r="D19" s="134"/>
      <c r="E19" s="122">
        <f>SUMPRODUCT(E14:E18,F14:F18)</f>
        <v>0</v>
      </c>
      <c r="F19" s="134"/>
      <c r="G19" s="122">
        <f>SUMPRODUCT(G14:G18,H14:H18)</f>
        <v>0</v>
      </c>
      <c r="H19" s="134"/>
      <c r="I19" s="122">
        <f>SUMPRODUCT(I14:I18,J14:J18)</f>
        <v>0</v>
      </c>
      <c r="J19" s="134"/>
      <c r="K19" s="122">
        <f>SUMPRODUCT(K14:K18,L14:L18)*0.25</f>
        <v>0</v>
      </c>
      <c r="L19" s="134"/>
      <c r="M19" s="122">
        <f>SUMPRODUCT(M14:M18,N14:N18)*0.25</f>
        <v>0</v>
      </c>
      <c r="N19" s="134"/>
      <c r="O19" s="140">
        <f>SUM(O14:O18)</f>
        <v>0</v>
      </c>
    </row>
    <row r="20" spans="2:15" ht="17" thickBot="1" x14ac:dyDescent="0.25">
      <c r="B20" s="128" t="s">
        <v>6</v>
      </c>
      <c r="C20" s="131"/>
      <c r="D20" s="135"/>
      <c r="E20" s="136"/>
      <c r="F20" s="135"/>
      <c r="G20" s="136"/>
      <c r="H20" s="135"/>
      <c r="I20" s="136"/>
      <c r="J20" s="135"/>
      <c r="K20" s="136"/>
      <c r="L20" s="135"/>
      <c r="M20" s="136"/>
      <c r="N20" s="135"/>
      <c r="O20" s="141"/>
    </row>
    <row r="21" spans="2:15" ht="17" thickBot="1" x14ac:dyDescent="0.25"/>
    <row r="22" spans="2:15" ht="18" customHeight="1" x14ac:dyDescent="0.2">
      <c r="B22" s="250" t="s">
        <v>121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2"/>
    </row>
    <row r="23" spans="2:15" ht="26" customHeight="1" x14ac:dyDescent="0.2">
      <c r="B23" s="253" t="s">
        <v>5</v>
      </c>
      <c r="C23" s="243" t="s">
        <v>2</v>
      </c>
      <c r="D23" s="244"/>
      <c r="E23" s="245" t="s">
        <v>122</v>
      </c>
      <c r="F23" s="244"/>
      <c r="G23" s="245" t="s">
        <v>123</v>
      </c>
      <c r="H23" s="244"/>
      <c r="I23" s="245" t="s">
        <v>124</v>
      </c>
      <c r="J23" s="244"/>
      <c r="K23" s="245" t="s">
        <v>125</v>
      </c>
      <c r="L23" s="244"/>
      <c r="M23" s="245" t="s">
        <v>126</v>
      </c>
      <c r="N23" s="244"/>
      <c r="O23" s="254" t="s">
        <v>14</v>
      </c>
    </row>
    <row r="24" spans="2:15" x14ac:dyDescent="0.2">
      <c r="B24" s="142">
        <v>46232</v>
      </c>
      <c r="C24" s="247" t="s">
        <v>127</v>
      </c>
      <c r="D24" s="248"/>
      <c r="E24" s="249" t="s">
        <v>128</v>
      </c>
      <c r="F24" s="248"/>
      <c r="G24" s="249" t="s">
        <v>117</v>
      </c>
      <c r="H24" s="248"/>
      <c r="I24" s="249" t="s">
        <v>129</v>
      </c>
      <c r="J24" s="248"/>
      <c r="K24" s="249" t="s">
        <v>130</v>
      </c>
      <c r="L24" s="248"/>
      <c r="M24" s="249" t="s">
        <v>131</v>
      </c>
      <c r="N24" s="248"/>
      <c r="O24" s="150"/>
    </row>
    <row r="25" spans="2:15" x14ac:dyDescent="0.2">
      <c r="B25" s="143"/>
      <c r="C25" s="123" t="s">
        <v>0</v>
      </c>
      <c r="D25" s="132" t="s">
        <v>120</v>
      </c>
      <c r="E25" s="120" t="s">
        <v>0</v>
      </c>
      <c r="F25" s="132" t="s">
        <v>120</v>
      </c>
      <c r="G25" s="120" t="s">
        <v>0</v>
      </c>
      <c r="H25" s="132" t="s">
        <v>120</v>
      </c>
      <c r="I25" s="120" t="s">
        <v>0</v>
      </c>
      <c r="J25" s="132" t="s">
        <v>120</v>
      </c>
      <c r="K25" s="120" t="s">
        <v>0</v>
      </c>
      <c r="L25" s="132" t="s">
        <v>120</v>
      </c>
      <c r="M25" s="120" t="s">
        <v>0</v>
      </c>
      <c r="N25" s="132" t="s">
        <v>120</v>
      </c>
      <c r="O25" s="151"/>
    </row>
    <row r="26" spans="2:15" x14ac:dyDescent="0.2">
      <c r="B26" s="144" t="s">
        <v>17</v>
      </c>
      <c r="C26" s="170">
        <v>40</v>
      </c>
      <c r="D26" s="133"/>
      <c r="E26" s="171">
        <v>16</v>
      </c>
      <c r="F26" s="133"/>
      <c r="G26" s="121"/>
      <c r="H26" s="133"/>
      <c r="I26" s="121"/>
      <c r="J26" s="133"/>
      <c r="K26" s="121"/>
      <c r="L26" s="133"/>
      <c r="M26" s="121"/>
      <c r="N26" s="133"/>
      <c r="O26" s="152">
        <f>C26*D26+E26*F26+G26*H26+I26*J26+K26*L26*0.25+M26*N26*0.25</f>
        <v>0</v>
      </c>
    </row>
    <row r="27" spans="2:15" x14ac:dyDescent="0.2">
      <c r="B27" s="144" t="s">
        <v>18</v>
      </c>
      <c r="C27" s="170">
        <v>60</v>
      </c>
      <c r="D27" s="133"/>
      <c r="E27" s="171">
        <v>27.5</v>
      </c>
      <c r="F27" s="133"/>
      <c r="G27" s="171">
        <v>40</v>
      </c>
      <c r="H27" s="133"/>
      <c r="I27" s="171">
        <v>39</v>
      </c>
      <c r="J27" s="133"/>
      <c r="K27" s="171">
        <v>20</v>
      </c>
      <c r="L27" s="133"/>
      <c r="M27" s="171">
        <v>15</v>
      </c>
      <c r="N27" s="133"/>
      <c r="O27" s="152">
        <f>C27*D27+E27*F27+G27*H27+I27*J27+K27*L27*0.25+M27*N27*0.25</f>
        <v>0</v>
      </c>
    </row>
    <row r="28" spans="2:15" x14ac:dyDescent="0.2">
      <c r="B28" s="144" t="s">
        <v>19</v>
      </c>
      <c r="C28" s="170">
        <v>60</v>
      </c>
      <c r="D28" s="133"/>
      <c r="E28" s="171">
        <v>27.5</v>
      </c>
      <c r="F28" s="133"/>
      <c r="G28" s="171">
        <v>40</v>
      </c>
      <c r="H28" s="133"/>
      <c r="I28" s="171">
        <v>39</v>
      </c>
      <c r="J28" s="133"/>
      <c r="K28" s="171">
        <v>20</v>
      </c>
      <c r="L28" s="133"/>
      <c r="M28" s="171">
        <v>15</v>
      </c>
      <c r="N28" s="133"/>
      <c r="O28" s="152">
        <f>C28*D28+E28*F28+G28*H28+I28*J28+K28*L28*0.25+M28*N28*0.25</f>
        <v>0</v>
      </c>
    </row>
    <row r="29" spans="2:15" x14ac:dyDescent="0.2">
      <c r="B29" s="144" t="s">
        <v>20</v>
      </c>
      <c r="C29" s="170">
        <v>60</v>
      </c>
      <c r="D29" s="133"/>
      <c r="E29" s="171">
        <v>27.5</v>
      </c>
      <c r="F29" s="133"/>
      <c r="G29" s="171">
        <v>40</v>
      </c>
      <c r="H29" s="133"/>
      <c r="I29" s="171">
        <v>39</v>
      </c>
      <c r="J29" s="133"/>
      <c r="K29" s="121"/>
      <c r="L29" s="133"/>
      <c r="M29" s="121"/>
      <c r="N29" s="133"/>
      <c r="O29" s="152">
        <f>C29*D29+E29*F29+G29*H29+I29*J29+K29*L29*0.25+M29*N29*0.25</f>
        <v>0</v>
      </c>
    </row>
    <row r="30" spans="2:15" x14ac:dyDescent="0.2">
      <c r="B30" s="144" t="s">
        <v>21</v>
      </c>
      <c r="C30" s="170">
        <v>60</v>
      </c>
      <c r="D30" s="133"/>
      <c r="E30" s="171">
        <v>27.5</v>
      </c>
      <c r="F30" s="133"/>
      <c r="G30" s="121"/>
      <c r="H30" s="133"/>
      <c r="I30" s="121"/>
      <c r="J30" s="133"/>
      <c r="K30" s="121"/>
      <c r="L30" s="133"/>
      <c r="M30" s="121"/>
      <c r="N30" s="133"/>
      <c r="O30" s="152">
        <f>C30*D30+E30*F30+G30*H30+I30*J30+K30*L30*0.25+M30*N30*0.25</f>
        <v>0</v>
      </c>
    </row>
    <row r="31" spans="2:15" x14ac:dyDescent="0.2">
      <c r="B31" s="145" t="s">
        <v>4</v>
      </c>
      <c r="C31" s="130">
        <f>SUMPRODUCT(C26:C30,D26:D30)</f>
        <v>0</v>
      </c>
      <c r="D31" s="134"/>
      <c r="E31" s="122">
        <f>SUMPRODUCT(E26:E30,F26:F30)</f>
        <v>0</v>
      </c>
      <c r="F31" s="134"/>
      <c r="G31" s="122">
        <f>SUMPRODUCT(G26:G30,H26:H30)</f>
        <v>0</v>
      </c>
      <c r="H31" s="134"/>
      <c r="I31" s="122">
        <f>SUMPRODUCT(I26:I30,J26:J30)</f>
        <v>0</v>
      </c>
      <c r="J31" s="134"/>
      <c r="K31" s="122">
        <f>SUMPRODUCT(K26:K30,L26:L30)*0.25</f>
        <v>0</v>
      </c>
      <c r="L31" s="134"/>
      <c r="M31" s="122">
        <f>SUMPRODUCT(M26:M30,N26:N30)*0.25</f>
        <v>0</v>
      </c>
      <c r="N31" s="134"/>
      <c r="O31" s="153">
        <f>SUM(O26:O30)</f>
        <v>0</v>
      </c>
    </row>
    <row r="32" spans="2:15" ht="17" thickBot="1" x14ac:dyDescent="0.25">
      <c r="B32" s="146" t="s">
        <v>6</v>
      </c>
      <c r="C32" s="147"/>
      <c r="D32" s="148"/>
      <c r="E32" s="149"/>
      <c r="F32" s="148"/>
      <c r="G32" s="149"/>
      <c r="H32" s="148"/>
      <c r="I32" s="149"/>
      <c r="J32" s="148"/>
      <c r="K32" s="149"/>
      <c r="L32" s="148"/>
      <c r="M32" s="149"/>
      <c r="N32" s="148"/>
      <c r="O32" s="154"/>
    </row>
    <row r="33" spans="2:15" ht="17" thickBot="1" x14ac:dyDescent="0.25"/>
    <row r="34" spans="2:15" ht="18" customHeight="1" x14ac:dyDescent="0.2">
      <c r="B34" s="255" t="s">
        <v>132</v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7"/>
    </row>
    <row r="35" spans="2:15" ht="26" customHeight="1" x14ac:dyDescent="0.2">
      <c r="B35" s="258" t="s">
        <v>5</v>
      </c>
      <c r="C35" s="243" t="s">
        <v>133</v>
      </c>
      <c r="D35" s="244"/>
      <c r="E35" s="245" t="s">
        <v>134</v>
      </c>
      <c r="F35" s="244"/>
      <c r="G35" s="245" t="s">
        <v>135</v>
      </c>
      <c r="H35" s="244"/>
      <c r="I35" s="245" t="s">
        <v>136</v>
      </c>
      <c r="J35" s="244"/>
      <c r="K35" s="259"/>
      <c r="L35" s="260"/>
      <c r="M35" s="260"/>
      <c r="N35" s="260"/>
      <c r="O35" s="261" t="s">
        <v>14</v>
      </c>
    </row>
    <row r="36" spans="2:15" x14ac:dyDescent="0.2">
      <c r="B36" s="155">
        <v>46234</v>
      </c>
      <c r="C36" s="247" t="s">
        <v>137</v>
      </c>
      <c r="D36" s="248"/>
      <c r="E36" s="249" t="s">
        <v>138</v>
      </c>
      <c r="F36" s="248"/>
      <c r="G36" s="249" t="s">
        <v>138</v>
      </c>
      <c r="H36" s="248"/>
      <c r="I36" s="249" t="s">
        <v>139</v>
      </c>
      <c r="J36" s="248"/>
      <c r="K36" s="262"/>
      <c r="L36" s="263"/>
      <c r="M36" s="263"/>
      <c r="N36" s="263"/>
      <c r="O36" s="160"/>
    </row>
    <row r="37" spans="2:15" x14ac:dyDescent="0.2">
      <c r="B37" s="156"/>
      <c r="C37" s="123" t="s">
        <v>0</v>
      </c>
      <c r="D37" s="132" t="s">
        <v>120</v>
      </c>
      <c r="E37" s="120" t="s">
        <v>0</v>
      </c>
      <c r="F37" s="132" t="s">
        <v>120</v>
      </c>
      <c r="G37" s="120" t="s">
        <v>0</v>
      </c>
      <c r="H37" s="132" t="s">
        <v>120</v>
      </c>
      <c r="I37" s="120" t="s">
        <v>0</v>
      </c>
      <c r="J37" s="132" t="s">
        <v>120</v>
      </c>
      <c r="K37" s="264"/>
      <c r="L37" s="265"/>
      <c r="M37" s="265"/>
      <c r="N37" s="265"/>
      <c r="O37" s="161"/>
    </row>
    <row r="38" spans="2:15" x14ac:dyDescent="0.2">
      <c r="B38" s="157" t="s">
        <v>17</v>
      </c>
      <c r="C38" s="170">
        <v>20</v>
      </c>
      <c r="D38" s="133"/>
      <c r="E38" s="121"/>
      <c r="F38" s="133"/>
      <c r="G38" s="121"/>
      <c r="H38" s="133"/>
      <c r="I38" s="171">
        <v>20</v>
      </c>
      <c r="J38" s="133"/>
      <c r="K38" s="266"/>
      <c r="L38" s="267"/>
      <c r="M38" s="267"/>
      <c r="N38" s="267"/>
      <c r="O38" s="162">
        <f>C38*D38+E38*F38+G38*H38+I38*J38</f>
        <v>0</v>
      </c>
    </row>
    <row r="39" spans="2:15" x14ac:dyDescent="0.2">
      <c r="B39" s="157" t="s">
        <v>18</v>
      </c>
      <c r="C39" s="170">
        <v>30</v>
      </c>
      <c r="D39" s="133"/>
      <c r="E39" s="171">
        <v>77.5</v>
      </c>
      <c r="F39" s="133"/>
      <c r="G39" s="171">
        <v>77.5</v>
      </c>
      <c r="H39" s="133"/>
      <c r="I39" s="171">
        <v>50</v>
      </c>
      <c r="J39" s="133"/>
      <c r="K39" s="266"/>
      <c r="L39" s="267"/>
      <c r="M39" s="267"/>
      <c r="N39" s="267"/>
      <c r="O39" s="162">
        <f>C39*D39+E39*F39+G39*H39+I39*J39</f>
        <v>0</v>
      </c>
    </row>
    <row r="40" spans="2:15" x14ac:dyDescent="0.2">
      <c r="B40" s="157" t="s">
        <v>19</v>
      </c>
      <c r="C40" s="170">
        <v>30</v>
      </c>
      <c r="D40" s="133"/>
      <c r="E40" s="171">
        <v>77.5</v>
      </c>
      <c r="F40" s="133"/>
      <c r="G40" s="171">
        <v>77.5</v>
      </c>
      <c r="H40" s="133"/>
      <c r="I40" s="171">
        <v>50</v>
      </c>
      <c r="J40" s="133"/>
      <c r="K40" s="266"/>
      <c r="L40" s="267"/>
      <c r="M40" s="267"/>
      <c r="N40" s="267"/>
      <c r="O40" s="162">
        <f>C40*D40+E40*F40+G40*H40+I40*J40</f>
        <v>0</v>
      </c>
    </row>
    <row r="41" spans="2:15" x14ac:dyDescent="0.2">
      <c r="B41" s="157" t="s">
        <v>20</v>
      </c>
      <c r="C41" s="170">
        <v>30</v>
      </c>
      <c r="D41" s="133"/>
      <c r="E41" s="171">
        <v>77.5</v>
      </c>
      <c r="F41" s="133"/>
      <c r="G41" s="171">
        <v>77.5</v>
      </c>
      <c r="H41" s="133"/>
      <c r="I41" s="171">
        <v>50</v>
      </c>
      <c r="J41" s="133"/>
      <c r="K41" s="266"/>
      <c r="L41" s="267"/>
      <c r="M41" s="267"/>
      <c r="N41" s="267"/>
      <c r="O41" s="162">
        <f>C41*D41+E41*F41+G41*H41+I41*J41</f>
        <v>0</v>
      </c>
    </row>
    <row r="42" spans="2:15" x14ac:dyDescent="0.2">
      <c r="B42" s="157" t="s">
        <v>21</v>
      </c>
      <c r="C42" s="129"/>
      <c r="D42" s="133"/>
      <c r="E42" s="121"/>
      <c r="F42" s="133"/>
      <c r="G42" s="121"/>
      <c r="H42" s="133"/>
      <c r="I42" s="121"/>
      <c r="J42" s="133"/>
      <c r="K42" s="266"/>
      <c r="L42" s="267"/>
      <c r="M42" s="267"/>
      <c r="N42" s="267"/>
      <c r="O42" s="162">
        <f>C42*D42+E42*F42+G42*H42+I42*J42</f>
        <v>0</v>
      </c>
    </row>
    <row r="43" spans="2:15" x14ac:dyDescent="0.2">
      <c r="B43" s="158" t="s">
        <v>4</v>
      </c>
      <c r="C43" s="130">
        <f>SUMPRODUCT(C38:C42,D38:D42)</f>
        <v>0</v>
      </c>
      <c r="D43" s="134"/>
      <c r="E43" s="122">
        <f>SUMPRODUCT(E38:E42,F38:F42)</f>
        <v>0</v>
      </c>
      <c r="F43" s="134"/>
      <c r="G43" s="122">
        <f>SUMPRODUCT(G38:G42,H38:H42)</f>
        <v>0</v>
      </c>
      <c r="H43" s="134"/>
      <c r="I43" s="122">
        <f>SUMPRODUCT(I38:I42,J38:J42)</f>
        <v>0</v>
      </c>
      <c r="J43" s="134"/>
      <c r="K43" s="268"/>
      <c r="L43" s="269"/>
      <c r="M43" s="269"/>
      <c r="N43" s="269"/>
      <c r="O43" s="163">
        <f>SUM(O38:O42)</f>
        <v>0</v>
      </c>
    </row>
    <row r="44" spans="2:15" ht="17" thickBot="1" x14ac:dyDescent="0.25">
      <c r="B44" s="159" t="s">
        <v>6</v>
      </c>
      <c r="C44" s="165"/>
      <c r="D44" s="166"/>
      <c r="E44" s="167"/>
      <c r="F44" s="166"/>
      <c r="G44" s="167"/>
      <c r="H44" s="166"/>
      <c r="I44" s="167"/>
      <c r="J44" s="166"/>
      <c r="K44" s="270"/>
      <c r="L44" s="271"/>
      <c r="M44" s="271"/>
      <c r="N44" s="271"/>
      <c r="O44" s="164"/>
    </row>
    <row r="45" spans="2:15" ht="17" thickBot="1" x14ac:dyDescent="0.25"/>
    <row r="46" spans="2:15" ht="18" customHeight="1" x14ac:dyDescent="0.2">
      <c r="B46" s="215" t="s">
        <v>140</v>
      </c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7"/>
    </row>
    <row r="47" spans="2:15" ht="26" customHeight="1" x14ac:dyDescent="0.2">
      <c r="B47" s="242" t="s">
        <v>5</v>
      </c>
      <c r="C47" s="243" t="s">
        <v>109</v>
      </c>
      <c r="D47" s="244"/>
      <c r="E47" s="245" t="s">
        <v>110</v>
      </c>
      <c r="F47" s="244"/>
      <c r="G47" s="245" t="s">
        <v>48</v>
      </c>
      <c r="H47" s="244"/>
      <c r="I47" s="245" t="s">
        <v>111</v>
      </c>
      <c r="J47" s="244"/>
      <c r="K47" s="245" t="s">
        <v>112</v>
      </c>
      <c r="L47" s="244"/>
      <c r="M47" s="245" t="s">
        <v>113</v>
      </c>
      <c r="N47" s="244"/>
      <c r="O47" s="246" t="s">
        <v>14</v>
      </c>
    </row>
    <row r="48" spans="2:15" x14ac:dyDescent="0.2">
      <c r="B48" s="124">
        <v>46237</v>
      </c>
      <c r="C48" s="247" t="s">
        <v>114</v>
      </c>
      <c r="D48" s="248"/>
      <c r="E48" s="249" t="s">
        <v>115</v>
      </c>
      <c r="F48" s="248"/>
      <c r="G48" s="249" t="s">
        <v>116</v>
      </c>
      <c r="H48" s="248"/>
      <c r="I48" s="249" t="s">
        <v>117</v>
      </c>
      <c r="J48" s="248"/>
      <c r="K48" s="249" t="s">
        <v>118</v>
      </c>
      <c r="L48" s="248"/>
      <c r="M48" s="249" t="s">
        <v>119</v>
      </c>
      <c r="N48" s="248"/>
      <c r="O48" s="137"/>
    </row>
    <row r="49" spans="2:15" x14ac:dyDescent="0.2">
      <c r="B49" s="125"/>
      <c r="C49" s="123" t="s">
        <v>0</v>
      </c>
      <c r="D49" s="132" t="s">
        <v>120</v>
      </c>
      <c r="E49" s="120" t="s">
        <v>0</v>
      </c>
      <c r="F49" s="132" t="s">
        <v>120</v>
      </c>
      <c r="G49" s="120" t="s">
        <v>0</v>
      </c>
      <c r="H49" s="132" t="s">
        <v>120</v>
      </c>
      <c r="I49" s="120" t="s">
        <v>0</v>
      </c>
      <c r="J49" s="132" t="s">
        <v>120</v>
      </c>
      <c r="K49" s="120" t="s">
        <v>0</v>
      </c>
      <c r="L49" s="132" t="s">
        <v>120</v>
      </c>
      <c r="M49" s="120" t="s">
        <v>0</v>
      </c>
      <c r="N49" s="132" t="s">
        <v>120</v>
      </c>
      <c r="O49" s="138"/>
    </row>
    <row r="50" spans="2:15" x14ac:dyDescent="0.2">
      <c r="B50" s="126" t="s">
        <v>17</v>
      </c>
      <c r="C50" s="129"/>
      <c r="D50" s="133"/>
      <c r="E50" s="121"/>
      <c r="F50" s="133"/>
      <c r="G50" s="121"/>
      <c r="H50" s="133"/>
      <c r="I50" s="121"/>
      <c r="J50" s="133"/>
      <c r="K50" s="121"/>
      <c r="L50" s="133"/>
      <c r="M50" s="121"/>
      <c r="N50" s="133"/>
      <c r="O50" s="139">
        <f>C50*D50+E50*F50+G50*H50+I50*J50+K50*L50*0.25+M50*N50*0.25</f>
        <v>0</v>
      </c>
    </row>
    <row r="51" spans="2:15" x14ac:dyDescent="0.2">
      <c r="B51" s="126" t="s">
        <v>18</v>
      </c>
      <c r="C51" s="129"/>
      <c r="D51" s="133"/>
      <c r="E51" s="121"/>
      <c r="F51" s="133"/>
      <c r="G51" s="121"/>
      <c r="H51" s="133"/>
      <c r="I51" s="121"/>
      <c r="J51" s="133"/>
      <c r="K51" s="121"/>
      <c r="L51" s="133"/>
      <c r="M51" s="121"/>
      <c r="N51" s="133"/>
      <c r="O51" s="139">
        <f>C51*D51+E51*F51+G51*H51+I51*J51+K51*L51*0.25+M51*N51*0.25</f>
        <v>0</v>
      </c>
    </row>
    <row r="52" spans="2:15" x14ac:dyDescent="0.2">
      <c r="B52" s="126" t="s">
        <v>19</v>
      </c>
      <c r="C52" s="129"/>
      <c r="D52" s="133"/>
      <c r="E52" s="121"/>
      <c r="F52" s="133"/>
      <c r="G52" s="121"/>
      <c r="H52" s="133"/>
      <c r="I52" s="121"/>
      <c r="J52" s="133"/>
      <c r="K52" s="121"/>
      <c r="L52" s="133"/>
      <c r="M52" s="121"/>
      <c r="N52" s="133"/>
      <c r="O52" s="139">
        <f>C52*D52+E52*F52+G52*H52+I52*J52+K52*L52*0.25+M52*N52*0.25</f>
        <v>0</v>
      </c>
    </row>
    <row r="53" spans="2:15" x14ac:dyDescent="0.2">
      <c r="B53" s="126" t="s">
        <v>20</v>
      </c>
      <c r="C53" s="129"/>
      <c r="D53" s="133"/>
      <c r="E53" s="121"/>
      <c r="F53" s="133"/>
      <c r="G53" s="121"/>
      <c r="H53" s="133"/>
      <c r="I53" s="121"/>
      <c r="J53" s="133"/>
      <c r="K53" s="121"/>
      <c r="L53" s="133"/>
      <c r="M53" s="121"/>
      <c r="N53" s="133"/>
      <c r="O53" s="139">
        <f>C53*D53+E53*F53+G53*H53+I53*J53+K53*L53*0.25+M53*N53*0.25</f>
        <v>0</v>
      </c>
    </row>
    <row r="54" spans="2:15" x14ac:dyDescent="0.2">
      <c r="B54" s="126" t="s">
        <v>21</v>
      </c>
      <c r="C54" s="129"/>
      <c r="D54" s="133"/>
      <c r="E54" s="121"/>
      <c r="F54" s="133"/>
      <c r="G54" s="121"/>
      <c r="H54" s="133"/>
      <c r="I54" s="121"/>
      <c r="J54" s="133"/>
      <c r="K54" s="121"/>
      <c r="L54" s="133"/>
      <c r="M54" s="121"/>
      <c r="N54" s="133"/>
      <c r="O54" s="139">
        <f>C54*D54+E54*F54+G54*H54+I54*J54+K54*L54*0.25+M54*N54*0.25</f>
        <v>0</v>
      </c>
    </row>
    <row r="55" spans="2:15" x14ac:dyDescent="0.2">
      <c r="B55" s="127" t="s">
        <v>4</v>
      </c>
      <c r="C55" s="130">
        <f>SUMPRODUCT(C50:C54,D50:D54)</f>
        <v>0</v>
      </c>
      <c r="D55" s="134"/>
      <c r="E55" s="122">
        <f>SUMPRODUCT(E50:E54,F50:F54)</f>
        <v>0</v>
      </c>
      <c r="F55" s="134"/>
      <c r="G55" s="122">
        <f>SUMPRODUCT(G50:G54,H50:H54)</f>
        <v>0</v>
      </c>
      <c r="H55" s="134"/>
      <c r="I55" s="122">
        <f>SUMPRODUCT(I50:I54,J50:J54)</f>
        <v>0</v>
      </c>
      <c r="J55" s="134"/>
      <c r="K55" s="122">
        <f>SUMPRODUCT(K50:K54,L50:L54)*0.25</f>
        <v>0</v>
      </c>
      <c r="L55" s="134"/>
      <c r="M55" s="122">
        <f>SUMPRODUCT(M50:M54,N50:N54)*0.25</f>
        <v>0</v>
      </c>
      <c r="N55" s="134"/>
      <c r="O55" s="140">
        <f>SUM(O50:O54)</f>
        <v>0</v>
      </c>
    </row>
    <row r="56" spans="2:15" ht="17" thickBot="1" x14ac:dyDescent="0.25">
      <c r="B56" s="128" t="s">
        <v>6</v>
      </c>
      <c r="C56" s="131"/>
      <c r="D56" s="135"/>
      <c r="E56" s="136"/>
      <c r="F56" s="135"/>
      <c r="G56" s="136"/>
      <c r="H56" s="135"/>
      <c r="I56" s="136"/>
      <c r="J56" s="135"/>
      <c r="K56" s="136"/>
      <c r="L56" s="135"/>
      <c r="M56" s="136"/>
      <c r="N56" s="135"/>
      <c r="O56" s="141"/>
    </row>
    <row r="57" spans="2:15" ht="17" thickBot="1" x14ac:dyDescent="0.25"/>
    <row r="58" spans="2:15" ht="18" customHeight="1" x14ac:dyDescent="0.2">
      <c r="B58" s="250" t="s">
        <v>141</v>
      </c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2"/>
    </row>
    <row r="59" spans="2:15" ht="26" customHeight="1" x14ac:dyDescent="0.2">
      <c r="B59" s="253" t="s">
        <v>5</v>
      </c>
      <c r="C59" s="243" t="s">
        <v>2</v>
      </c>
      <c r="D59" s="244"/>
      <c r="E59" s="245" t="s">
        <v>122</v>
      </c>
      <c r="F59" s="244"/>
      <c r="G59" s="245" t="s">
        <v>123</v>
      </c>
      <c r="H59" s="244"/>
      <c r="I59" s="245" t="s">
        <v>124</v>
      </c>
      <c r="J59" s="244"/>
      <c r="K59" s="245" t="s">
        <v>125</v>
      </c>
      <c r="L59" s="244"/>
      <c r="M59" s="245" t="s">
        <v>126</v>
      </c>
      <c r="N59" s="244"/>
      <c r="O59" s="254" t="s">
        <v>14</v>
      </c>
    </row>
    <row r="60" spans="2:15" x14ac:dyDescent="0.2">
      <c r="B60" s="142">
        <v>46239</v>
      </c>
      <c r="C60" s="247" t="s">
        <v>127</v>
      </c>
      <c r="D60" s="248"/>
      <c r="E60" s="249" t="s">
        <v>128</v>
      </c>
      <c r="F60" s="248"/>
      <c r="G60" s="249" t="s">
        <v>117</v>
      </c>
      <c r="H60" s="248"/>
      <c r="I60" s="249" t="s">
        <v>129</v>
      </c>
      <c r="J60" s="248"/>
      <c r="K60" s="249" t="s">
        <v>130</v>
      </c>
      <c r="L60" s="248"/>
      <c r="M60" s="249" t="s">
        <v>131</v>
      </c>
      <c r="N60" s="248"/>
      <c r="O60" s="150"/>
    </row>
    <row r="61" spans="2:15" x14ac:dyDescent="0.2">
      <c r="B61" s="143"/>
      <c r="C61" s="123" t="s">
        <v>0</v>
      </c>
      <c r="D61" s="132" t="s">
        <v>120</v>
      </c>
      <c r="E61" s="120" t="s">
        <v>0</v>
      </c>
      <c r="F61" s="132" t="s">
        <v>120</v>
      </c>
      <c r="G61" s="120" t="s">
        <v>0</v>
      </c>
      <c r="H61" s="132" t="s">
        <v>120</v>
      </c>
      <c r="I61" s="120" t="s">
        <v>0</v>
      </c>
      <c r="J61" s="132" t="s">
        <v>120</v>
      </c>
      <c r="K61" s="120" t="s">
        <v>0</v>
      </c>
      <c r="L61" s="132" t="s">
        <v>120</v>
      </c>
      <c r="M61" s="120" t="s">
        <v>0</v>
      </c>
      <c r="N61" s="132" t="s">
        <v>120</v>
      </c>
      <c r="O61" s="151"/>
    </row>
    <row r="62" spans="2:15" x14ac:dyDescent="0.2">
      <c r="B62" s="144" t="s">
        <v>17</v>
      </c>
      <c r="C62" s="129"/>
      <c r="D62" s="133"/>
      <c r="E62" s="121"/>
      <c r="F62" s="133"/>
      <c r="G62" s="121"/>
      <c r="H62" s="133"/>
      <c r="I62" s="121"/>
      <c r="J62" s="133"/>
      <c r="K62" s="121"/>
      <c r="L62" s="133"/>
      <c r="M62" s="121"/>
      <c r="N62" s="133"/>
      <c r="O62" s="152">
        <f>C62*D62+E62*F62+G62*H62+I62*J62+K62*L62*0.25+M62*N62*0.25</f>
        <v>0</v>
      </c>
    </row>
    <row r="63" spans="2:15" x14ac:dyDescent="0.2">
      <c r="B63" s="144" t="s">
        <v>18</v>
      </c>
      <c r="C63" s="129"/>
      <c r="D63" s="133"/>
      <c r="E63" s="121"/>
      <c r="F63" s="133"/>
      <c r="G63" s="121"/>
      <c r="H63" s="133"/>
      <c r="I63" s="121"/>
      <c r="J63" s="133"/>
      <c r="K63" s="121"/>
      <c r="L63" s="133"/>
      <c r="M63" s="121"/>
      <c r="N63" s="133"/>
      <c r="O63" s="152">
        <f>C63*D63+E63*F63+G63*H63+I63*J63+K63*L63*0.25+M63*N63*0.25</f>
        <v>0</v>
      </c>
    </row>
    <row r="64" spans="2:15" x14ac:dyDescent="0.2">
      <c r="B64" s="144" t="s">
        <v>19</v>
      </c>
      <c r="C64" s="129"/>
      <c r="D64" s="133"/>
      <c r="E64" s="121"/>
      <c r="F64" s="133"/>
      <c r="G64" s="121"/>
      <c r="H64" s="133"/>
      <c r="I64" s="121"/>
      <c r="J64" s="133"/>
      <c r="K64" s="121"/>
      <c r="L64" s="133"/>
      <c r="M64" s="121"/>
      <c r="N64" s="133"/>
      <c r="O64" s="152">
        <f>C64*D64+E64*F64+G64*H64+I64*J64+K64*L64*0.25+M64*N64*0.25</f>
        <v>0</v>
      </c>
    </row>
    <row r="65" spans="2:15" x14ac:dyDescent="0.2">
      <c r="B65" s="144" t="s">
        <v>20</v>
      </c>
      <c r="C65" s="129"/>
      <c r="D65" s="133"/>
      <c r="E65" s="121"/>
      <c r="F65" s="133"/>
      <c r="G65" s="121"/>
      <c r="H65" s="133"/>
      <c r="I65" s="121"/>
      <c r="J65" s="133"/>
      <c r="K65" s="121"/>
      <c r="L65" s="133"/>
      <c r="M65" s="121"/>
      <c r="N65" s="133"/>
      <c r="O65" s="152">
        <f>C65*D65+E65*F65+G65*H65+I65*J65+K65*L65*0.25+M65*N65*0.25</f>
        <v>0</v>
      </c>
    </row>
    <row r="66" spans="2:15" x14ac:dyDescent="0.2">
      <c r="B66" s="144" t="s">
        <v>21</v>
      </c>
      <c r="C66" s="129"/>
      <c r="D66" s="133"/>
      <c r="E66" s="121"/>
      <c r="F66" s="133"/>
      <c r="G66" s="121"/>
      <c r="H66" s="133"/>
      <c r="I66" s="121"/>
      <c r="J66" s="133"/>
      <c r="K66" s="121"/>
      <c r="L66" s="133"/>
      <c r="M66" s="121"/>
      <c r="N66" s="133"/>
      <c r="O66" s="152">
        <f>C66*D66+E66*F66+G66*H66+I66*J66+K66*L66*0.25+M66*N66*0.25</f>
        <v>0</v>
      </c>
    </row>
    <row r="67" spans="2:15" x14ac:dyDescent="0.2">
      <c r="B67" s="145" t="s">
        <v>4</v>
      </c>
      <c r="C67" s="130">
        <f>SUMPRODUCT(C62:C66,D62:D66)</f>
        <v>0</v>
      </c>
      <c r="D67" s="134"/>
      <c r="E67" s="122">
        <f>SUMPRODUCT(E62:E66,F62:F66)</f>
        <v>0</v>
      </c>
      <c r="F67" s="134"/>
      <c r="G67" s="122">
        <f>SUMPRODUCT(G62:G66,H62:H66)</f>
        <v>0</v>
      </c>
      <c r="H67" s="134"/>
      <c r="I67" s="122">
        <f>SUMPRODUCT(I62:I66,J62:J66)</f>
        <v>0</v>
      </c>
      <c r="J67" s="134"/>
      <c r="K67" s="122">
        <f>SUMPRODUCT(K62:K66,L62:L66)*0.25</f>
        <v>0</v>
      </c>
      <c r="L67" s="134"/>
      <c r="M67" s="122">
        <f>SUMPRODUCT(M62:M66,N62:N66)*0.25</f>
        <v>0</v>
      </c>
      <c r="N67" s="134"/>
      <c r="O67" s="153">
        <f>SUM(O62:O66)</f>
        <v>0</v>
      </c>
    </row>
    <row r="68" spans="2:15" ht="17" thickBot="1" x14ac:dyDescent="0.25">
      <c r="B68" s="146" t="s">
        <v>6</v>
      </c>
      <c r="C68" s="147"/>
      <c r="D68" s="148"/>
      <c r="E68" s="149"/>
      <c r="F68" s="148"/>
      <c r="G68" s="149"/>
      <c r="H68" s="148"/>
      <c r="I68" s="149"/>
      <c r="J68" s="148"/>
      <c r="K68" s="149"/>
      <c r="L68" s="148"/>
      <c r="M68" s="149"/>
      <c r="N68" s="148"/>
      <c r="O68" s="154"/>
    </row>
    <row r="69" spans="2:15" ht="17" thickBot="1" x14ac:dyDescent="0.25"/>
    <row r="70" spans="2:15" ht="18" customHeight="1" x14ac:dyDescent="0.2">
      <c r="B70" s="255" t="s">
        <v>142</v>
      </c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7"/>
    </row>
    <row r="71" spans="2:15" ht="26" customHeight="1" x14ac:dyDescent="0.2">
      <c r="B71" s="258" t="s">
        <v>5</v>
      </c>
      <c r="C71" s="243" t="s">
        <v>133</v>
      </c>
      <c r="D71" s="244"/>
      <c r="E71" s="245" t="s">
        <v>134</v>
      </c>
      <c r="F71" s="244"/>
      <c r="G71" s="245" t="s">
        <v>135</v>
      </c>
      <c r="H71" s="244"/>
      <c r="I71" s="245" t="s">
        <v>136</v>
      </c>
      <c r="J71" s="244"/>
      <c r="K71" s="259"/>
      <c r="L71" s="260"/>
      <c r="M71" s="260"/>
      <c r="N71" s="260"/>
      <c r="O71" s="261" t="s">
        <v>14</v>
      </c>
    </row>
    <row r="72" spans="2:15" x14ac:dyDescent="0.2">
      <c r="B72" s="155">
        <v>46241</v>
      </c>
      <c r="C72" s="247" t="s">
        <v>137</v>
      </c>
      <c r="D72" s="248"/>
      <c r="E72" s="249" t="s">
        <v>138</v>
      </c>
      <c r="F72" s="248"/>
      <c r="G72" s="249" t="s">
        <v>138</v>
      </c>
      <c r="H72" s="248"/>
      <c r="I72" s="249" t="s">
        <v>139</v>
      </c>
      <c r="J72" s="248"/>
      <c r="K72" s="262"/>
      <c r="L72" s="263"/>
      <c r="M72" s="263"/>
      <c r="N72" s="263"/>
      <c r="O72" s="160"/>
    </row>
    <row r="73" spans="2:15" x14ac:dyDescent="0.2">
      <c r="B73" s="156"/>
      <c r="C73" s="123" t="s">
        <v>0</v>
      </c>
      <c r="D73" s="132" t="s">
        <v>120</v>
      </c>
      <c r="E73" s="120" t="s">
        <v>0</v>
      </c>
      <c r="F73" s="132" t="s">
        <v>120</v>
      </c>
      <c r="G73" s="120" t="s">
        <v>0</v>
      </c>
      <c r="H73" s="132" t="s">
        <v>120</v>
      </c>
      <c r="I73" s="120" t="s">
        <v>0</v>
      </c>
      <c r="J73" s="132" t="s">
        <v>120</v>
      </c>
      <c r="K73" s="264"/>
      <c r="L73" s="265"/>
      <c r="M73" s="265"/>
      <c r="N73" s="265"/>
      <c r="O73" s="161"/>
    </row>
    <row r="74" spans="2:15" x14ac:dyDescent="0.2">
      <c r="B74" s="157" t="s">
        <v>17</v>
      </c>
      <c r="C74" s="129"/>
      <c r="D74" s="133"/>
      <c r="E74" s="121"/>
      <c r="F74" s="133"/>
      <c r="G74" s="121"/>
      <c r="H74" s="133"/>
      <c r="I74" s="121"/>
      <c r="J74" s="133"/>
      <c r="K74" s="266"/>
      <c r="L74" s="267"/>
      <c r="M74" s="267"/>
      <c r="N74" s="267"/>
      <c r="O74" s="162">
        <f>C74*D74+E74*F74+G74*H74+I74*J74</f>
        <v>0</v>
      </c>
    </row>
    <row r="75" spans="2:15" x14ac:dyDescent="0.2">
      <c r="B75" s="157" t="s">
        <v>18</v>
      </c>
      <c r="C75" s="129"/>
      <c r="D75" s="133"/>
      <c r="E75" s="121"/>
      <c r="F75" s="133"/>
      <c r="G75" s="121"/>
      <c r="H75" s="133"/>
      <c r="I75" s="121"/>
      <c r="J75" s="133"/>
      <c r="K75" s="266"/>
      <c r="L75" s="267"/>
      <c r="M75" s="267"/>
      <c r="N75" s="267"/>
      <c r="O75" s="162">
        <f>C75*D75+E75*F75+G75*H75+I75*J75</f>
        <v>0</v>
      </c>
    </row>
    <row r="76" spans="2:15" x14ac:dyDescent="0.2">
      <c r="B76" s="157" t="s">
        <v>19</v>
      </c>
      <c r="C76" s="129"/>
      <c r="D76" s="133"/>
      <c r="E76" s="121"/>
      <c r="F76" s="133"/>
      <c r="G76" s="121"/>
      <c r="H76" s="133"/>
      <c r="I76" s="121"/>
      <c r="J76" s="133"/>
      <c r="K76" s="266"/>
      <c r="L76" s="267"/>
      <c r="M76" s="267"/>
      <c r="N76" s="267"/>
      <c r="O76" s="162">
        <f>C76*D76+E76*F76+G76*H76+I76*J76</f>
        <v>0</v>
      </c>
    </row>
    <row r="77" spans="2:15" x14ac:dyDescent="0.2">
      <c r="B77" s="157" t="s">
        <v>20</v>
      </c>
      <c r="C77" s="129"/>
      <c r="D77" s="133"/>
      <c r="E77" s="121"/>
      <c r="F77" s="133"/>
      <c r="G77" s="121"/>
      <c r="H77" s="133"/>
      <c r="I77" s="121"/>
      <c r="J77" s="133"/>
      <c r="K77" s="266"/>
      <c r="L77" s="267"/>
      <c r="M77" s="267"/>
      <c r="N77" s="267"/>
      <c r="O77" s="162">
        <f>C77*D77+E77*F77+G77*H77+I77*J77</f>
        <v>0</v>
      </c>
    </row>
    <row r="78" spans="2:15" x14ac:dyDescent="0.2">
      <c r="B78" s="157" t="s">
        <v>21</v>
      </c>
      <c r="C78" s="129"/>
      <c r="D78" s="133"/>
      <c r="E78" s="121"/>
      <c r="F78" s="133"/>
      <c r="G78" s="121"/>
      <c r="H78" s="133"/>
      <c r="I78" s="121"/>
      <c r="J78" s="133"/>
      <c r="K78" s="266"/>
      <c r="L78" s="267"/>
      <c r="M78" s="267"/>
      <c r="N78" s="267"/>
      <c r="O78" s="162">
        <f>C78*D78+E78*F78+G78*H78+I78*J78</f>
        <v>0</v>
      </c>
    </row>
    <row r="79" spans="2:15" x14ac:dyDescent="0.2">
      <c r="B79" s="158" t="s">
        <v>4</v>
      </c>
      <c r="C79" s="130">
        <f>SUMPRODUCT(C74:C78,D74:D78)</f>
        <v>0</v>
      </c>
      <c r="D79" s="134"/>
      <c r="E79" s="122">
        <f>SUMPRODUCT(E74:E78,F74:F78)</f>
        <v>0</v>
      </c>
      <c r="F79" s="134"/>
      <c r="G79" s="122">
        <f>SUMPRODUCT(G74:G78,H74:H78)</f>
        <v>0</v>
      </c>
      <c r="H79" s="134"/>
      <c r="I79" s="122">
        <f>SUMPRODUCT(I74:I78,J74:J78)</f>
        <v>0</v>
      </c>
      <c r="J79" s="134"/>
      <c r="K79" s="268"/>
      <c r="L79" s="269"/>
      <c r="M79" s="269"/>
      <c r="N79" s="269"/>
      <c r="O79" s="163">
        <f>SUM(O74:O78)</f>
        <v>0</v>
      </c>
    </row>
    <row r="80" spans="2:15" ht="17" thickBot="1" x14ac:dyDescent="0.25">
      <c r="B80" s="159" t="s">
        <v>6</v>
      </c>
      <c r="C80" s="165"/>
      <c r="D80" s="166"/>
      <c r="E80" s="167"/>
      <c r="F80" s="166"/>
      <c r="G80" s="167"/>
      <c r="H80" s="166"/>
      <c r="I80" s="167"/>
      <c r="J80" s="166"/>
      <c r="K80" s="270"/>
      <c r="L80" s="271"/>
      <c r="M80" s="271"/>
      <c r="N80" s="271"/>
      <c r="O80" s="164"/>
    </row>
    <row r="81" spans="2:15" ht="17" thickBot="1" x14ac:dyDescent="0.25"/>
    <row r="82" spans="2:15" ht="18" customHeight="1" x14ac:dyDescent="0.2">
      <c r="B82" s="215" t="s">
        <v>143</v>
      </c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7"/>
    </row>
    <row r="83" spans="2:15" ht="26" customHeight="1" x14ac:dyDescent="0.2">
      <c r="B83" s="242" t="s">
        <v>5</v>
      </c>
      <c r="C83" s="243" t="s">
        <v>109</v>
      </c>
      <c r="D83" s="244"/>
      <c r="E83" s="245" t="s">
        <v>110</v>
      </c>
      <c r="F83" s="244"/>
      <c r="G83" s="245" t="s">
        <v>48</v>
      </c>
      <c r="H83" s="244"/>
      <c r="I83" s="245" t="s">
        <v>111</v>
      </c>
      <c r="J83" s="244"/>
      <c r="K83" s="245" t="s">
        <v>112</v>
      </c>
      <c r="L83" s="244"/>
      <c r="M83" s="245" t="s">
        <v>113</v>
      </c>
      <c r="N83" s="244"/>
      <c r="O83" s="246" t="s">
        <v>14</v>
      </c>
    </row>
    <row r="84" spans="2:15" x14ac:dyDescent="0.2">
      <c r="B84" s="124">
        <v>46244</v>
      </c>
      <c r="C84" s="247" t="s">
        <v>114</v>
      </c>
      <c r="D84" s="248"/>
      <c r="E84" s="249" t="s">
        <v>115</v>
      </c>
      <c r="F84" s="248"/>
      <c r="G84" s="249" t="s">
        <v>116</v>
      </c>
      <c r="H84" s="248"/>
      <c r="I84" s="249" t="s">
        <v>117</v>
      </c>
      <c r="J84" s="248"/>
      <c r="K84" s="249" t="s">
        <v>118</v>
      </c>
      <c r="L84" s="248"/>
      <c r="M84" s="249" t="s">
        <v>119</v>
      </c>
      <c r="N84" s="248"/>
      <c r="O84" s="137"/>
    </row>
    <row r="85" spans="2:15" x14ac:dyDescent="0.2">
      <c r="B85" s="125"/>
      <c r="C85" s="123" t="s">
        <v>0</v>
      </c>
      <c r="D85" s="132" t="s">
        <v>120</v>
      </c>
      <c r="E85" s="120" t="s">
        <v>0</v>
      </c>
      <c r="F85" s="132" t="s">
        <v>120</v>
      </c>
      <c r="G85" s="120" t="s">
        <v>0</v>
      </c>
      <c r="H85" s="132" t="s">
        <v>120</v>
      </c>
      <c r="I85" s="120" t="s">
        <v>0</v>
      </c>
      <c r="J85" s="132" t="s">
        <v>120</v>
      </c>
      <c r="K85" s="120" t="s">
        <v>0</v>
      </c>
      <c r="L85" s="132" t="s">
        <v>120</v>
      </c>
      <c r="M85" s="120" t="s">
        <v>0</v>
      </c>
      <c r="N85" s="132" t="s">
        <v>120</v>
      </c>
      <c r="O85" s="138"/>
    </row>
    <row r="86" spans="2:15" x14ac:dyDescent="0.2">
      <c r="B86" s="126" t="s">
        <v>17</v>
      </c>
      <c r="C86" s="129"/>
      <c r="D86" s="133"/>
      <c r="E86" s="121"/>
      <c r="F86" s="133"/>
      <c r="G86" s="121"/>
      <c r="H86" s="133"/>
      <c r="I86" s="121"/>
      <c r="J86" s="133"/>
      <c r="K86" s="121"/>
      <c r="L86" s="133"/>
      <c r="M86" s="121"/>
      <c r="N86" s="133"/>
      <c r="O86" s="139">
        <f>C86*D86+E86*F86+G86*H86+I86*J86+K86*L86*0.25+M86*N86*0.25</f>
        <v>0</v>
      </c>
    </row>
    <row r="87" spans="2:15" x14ac:dyDescent="0.2">
      <c r="B87" s="126" t="s">
        <v>18</v>
      </c>
      <c r="C87" s="129"/>
      <c r="D87" s="133"/>
      <c r="E87" s="121"/>
      <c r="F87" s="133"/>
      <c r="G87" s="121"/>
      <c r="H87" s="133"/>
      <c r="I87" s="121"/>
      <c r="J87" s="133"/>
      <c r="K87" s="121"/>
      <c r="L87" s="133"/>
      <c r="M87" s="121"/>
      <c r="N87" s="133"/>
      <c r="O87" s="139">
        <f>C87*D87+E87*F87+G87*H87+I87*J87+K87*L87*0.25+M87*N87*0.25</f>
        <v>0</v>
      </c>
    </row>
    <row r="88" spans="2:15" x14ac:dyDescent="0.2">
      <c r="B88" s="126" t="s">
        <v>19</v>
      </c>
      <c r="C88" s="129"/>
      <c r="D88" s="133"/>
      <c r="E88" s="121"/>
      <c r="F88" s="133"/>
      <c r="G88" s="121"/>
      <c r="H88" s="133"/>
      <c r="I88" s="121"/>
      <c r="J88" s="133"/>
      <c r="K88" s="121"/>
      <c r="L88" s="133"/>
      <c r="M88" s="121"/>
      <c r="N88" s="133"/>
      <c r="O88" s="139">
        <f>C88*D88+E88*F88+G88*H88+I88*J88+K88*L88*0.25+M88*N88*0.25</f>
        <v>0</v>
      </c>
    </row>
    <row r="89" spans="2:15" x14ac:dyDescent="0.2">
      <c r="B89" s="126" t="s">
        <v>20</v>
      </c>
      <c r="C89" s="129"/>
      <c r="D89" s="133"/>
      <c r="E89" s="121"/>
      <c r="F89" s="133"/>
      <c r="G89" s="121"/>
      <c r="H89" s="133"/>
      <c r="I89" s="121"/>
      <c r="J89" s="133"/>
      <c r="K89" s="121"/>
      <c r="L89" s="133"/>
      <c r="M89" s="121"/>
      <c r="N89" s="133"/>
      <c r="O89" s="139">
        <f>C89*D89+E89*F89+G89*H89+I89*J89+K89*L89*0.25+M89*N89*0.25</f>
        <v>0</v>
      </c>
    </row>
    <row r="90" spans="2:15" x14ac:dyDescent="0.2">
      <c r="B90" s="126" t="s">
        <v>21</v>
      </c>
      <c r="C90" s="129"/>
      <c r="D90" s="133"/>
      <c r="E90" s="121"/>
      <c r="F90" s="133"/>
      <c r="G90" s="121"/>
      <c r="H90" s="133"/>
      <c r="I90" s="121"/>
      <c r="J90" s="133"/>
      <c r="K90" s="121"/>
      <c r="L90" s="133"/>
      <c r="M90" s="121"/>
      <c r="N90" s="133"/>
      <c r="O90" s="139">
        <f>C90*D90+E90*F90+G90*H90+I90*J90+K90*L90*0.25+M90*N90*0.25</f>
        <v>0</v>
      </c>
    </row>
    <row r="91" spans="2:15" x14ac:dyDescent="0.2">
      <c r="B91" s="127" t="s">
        <v>4</v>
      </c>
      <c r="C91" s="130">
        <f>SUMPRODUCT(C86:C90,D86:D90)</f>
        <v>0</v>
      </c>
      <c r="D91" s="134"/>
      <c r="E91" s="122">
        <f>SUMPRODUCT(E86:E90,F86:F90)</f>
        <v>0</v>
      </c>
      <c r="F91" s="134"/>
      <c r="G91" s="122">
        <f>SUMPRODUCT(G86:G90,H86:H90)</f>
        <v>0</v>
      </c>
      <c r="H91" s="134"/>
      <c r="I91" s="122">
        <f>SUMPRODUCT(I86:I90,J86:J90)</f>
        <v>0</v>
      </c>
      <c r="J91" s="134"/>
      <c r="K91" s="122">
        <f>SUMPRODUCT(K86:K90,L86:L90)*0.25</f>
        <v>0</v>
      </c>
      <c r="L91" s="134"/>
      <c r="M91" s="122">
        <f>SUMPRODUCT(M86:M90,N86:N90)*0.25</f>
        <v>0</v>
      </c>
      <c r="N91" s="134"/>
      <c r="O91" s="140">
        <f>SUM(O86:O90)</f>
        <v>0</v>
      </c>
    </row>
    <row r="92" spans="2:15" ht="17" thickBot="1" x14ac:dyDescent="0.25">
      <c r="B92" s="128" t="s">
        <v>6</v>
      </c>
      <c r="C92" s="131"/>
      <c r="D92" s="135"/>
      <c r="E92" s="136"/>
      <c r="F92" s="135"/>
      <c r="G92" s="136"/>
      <c r="H92" s="135"/>
      <c r="I92" s="136"/>
      <c r="J92" s="135"/>
      <c r="K92" s="136"/>
      <c r="L92" s="135"/>
      <c r="M92" s="136"/>
      <c r="N92" s="135"/>
      <c r="O92" s="141"/>
    </row>
    <row r="93" spans="2:15" ht="17" thickBot="1" x14ac:dyDescent="0.25"/>
    <row r="94" spans="2:15" ht="18" customHeight="1" x14ac:dyDescent="0.2">
      <c r="B94" s="250" t="s">
        <v>144</v>
      </c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2"/>
    </row>
    <row r="95" spans="2:15" ht="26" customHeight="1" x14ac:dyDescent="0.2">
      <c r="B95" s="253" t="s">
        <v>5</v>
      </c>
      <c r="C95" s="243" t="s">
        <v>2</v>
      </c>
      <c r="D95" s="244"/>
      <c r="E95" s="245" t="s">
        <v>122</v>
      </c>
      <c r="F95" s="244"/>
      <c r="G95" s="245" t="s">
        <v>123</v>
      </c>
      <c r="H95" s="244"/>
      <c r="I95" s="245" t="s">
        <v>124</v>
      </c>
      <c r="J95" s="244"/>
      <c r="K95" s="245" t="s">
        <v>125</v>
      </c>
      <c r="L95" s="244"/>
      <c r="M95" s="245" t="s">
        <v>126</v>
      </c>
      <c r="N95" s="244"/>
      <c r="O95" s="254" t="s">
        <v>14</v>
      </c>
    </row>
    <row r="96" spans="2:15" x14ac:dyDescent="0.2">
      <c r="B96" s="142">
        <v>46246</v>
      </c>
      <c r="C96" s="247" t="s">
        <v>127</v>
      </c>
      <c r="D96" s="248"/>
      <c r="E96" s="249" t="s">
        <v>128</v>
      </c>
      <c r="F96" s="248"/>
      <c r="G96" s="249" t="s">
        <v>117</v>
      </c>
      <c r="H96" s="248"/>
      <c r="I96" s="249" t="s">
        <v>129</v>
      </c>
      <c r="J96" s="248"/>
      <c r="K96" s="249" t="s">
        <v>130</v>
      </c>
      <c r="L96" s="248"/>
      <c r="M96" s="249" t="s">
        <v>131</v>
      </c>
      <c r="N96" s="248"/>
      <c r="O96" s="150"/>
    </row>
    <row r="97" spans="2:15" x14ac:dyDescent="0.2">
      <c r="B97" s="143"/>
      <c r="C97" s="123" t="s">
        <v>0</v>
      </c>
      <c r="D97" s="132" t="s">
        <v>120</v>
      </c>
      <c r="E97" s="120" t="s">
        <v>0</v>
      </c>
      <c r="F97" s="132" t="s">
        <v>120</v>
      </c>
      <c r="G97" s="120" t="s">
        <v>0</v>
      </c>
      <c r="H97" s="132" t="s">
        <v>120</v>
      </c>
      <c r="I97" s="120" t="s">
        <v>0</v>
      </c>
      <c r="J97" s="132" t="s">
        <v>120</v>
      </c>
      <c r="K97" s="120" t="s">
        <v>0</v>
      </c>
      <c r="L97" s="132" t="s">
        <v>120</v>
      </c>
      <c r="M97" s="120" t="s">
        <v>0</v>
      </c>
      <c r="N97" s="132" t="s">
        <v>120</v>
      </c>
      <c r="O97" s="151"/>
    </row>
    <row r="98" spans="2:15" x14ac:dyDescent="0.2">
      <c r="B98" s="144" t="s">
        <v>17</v>
      </c>
      <c r="C98" s="129"/>
      <c r="D98" s="133"/>
      <c r="E98" s="121"/>
      <c r="F98" s="133"/>
      <c r="G98" s="121"/>
      <c r="H98" s="133"/>
      <c r="I98" s="121"/>
      <c r="J98" s="133"/>
      <c r="K98" s="121"/>
      <c r="L98" s="133"/>
      <c r="M98" s="121"/>
      <c r="N98" s="133"/>
      <c r="O98" s="152">
        <f>C98*D98+E98*F98+G98*H98+I98*J98+K98*L98*0.25+M98*N98*0.25</f>
        <v>0</v>
      </c>
    </row>
    <row r="99" spans="2:15" x14ac:dyDescent="0.2">
      <c r="B99" s="144" t="s">
        <v>18</v>
      </c>
      <c r="C99" s="129"/>
      <c r="D99" s="133"/>
      <c r="E99" s="121"/>
      <c r="F99" s="133"/>
      <c r="G99" s="121"/>
      <c r="H99" s="133"/>
      <c r="I99" s="121"/>
      <c r="J99" s="133"/>
      <c r="K99" s="121"/>
      <c r="L99" s="133"/>
      <c r="M99" s="121"/>
      <c r="N99" s="133"/>
      <c r="O99" s="152">
        <f>C99*D99+E99*F99+G99*H99+I99*J99+K99*L99*0.25+M99*N99*0.25</f>
        <v>0</v>
      </c>
    </row>
    <row r="100" spans="2:15" x14ac:dyDescent="0.2">
      <c r="B100" s="144" t="s">
        <v>19</v>
      </c>
      <c r="C100" s="129"/>
      <c r="D100" s="133"/>
      <c r="E100" s="121"/>
      <c r="F100" s="133"/>
      <c r="G100" s="121"/>
      <c r="H100" s="133"/>
      <c r="I100" s="121"/>
      <c r="J100" s="133"/>
      <c r="K100" s="121"/>
      <c r="L100" s="133"/>
      <c r="M100" s="121"/>
      <c r="N100" s="133"/>
      <c r="O100" s="152">
        <f>C100*D100+E100*F100+G100*H100+I100*J100+K100*L100*0.25+M100*N100*0.25</f>
        <v>0</v>
      </c>
    </row>
    <row r="101" spans="2:15" x14ac:dyDescent="0.2">
      <c r="B101" s="144" t="s">
        <v>20</v>
      </c>
      <c r="C101" s="129"/>
      <c r="D101" s="133"/>
      <c r="E101" s="121"/>
      <c r="F101" s="133"/>
      <c r="G101" s="121"/>
      <c r="H101" s="133"/>
      <c r="I101" s="121"/>
      <c r="J101" s="133"/>
      <c r="K101" s="121"/>
      <c r="L101" s="133"/>
      <c r="M101" s="121"/>
      <c r="N101" s="133"/>
      <c r="O101" s="152">
        <f>C101*D101+E101*F101+G101*H101+I101*J101+K101*L101*0.25+M101*N101*0.25</f>
        <v>0</v>
      </c>
    </row>
    <row r="102" spans="2:15" x14ac:dyDescent="0.2">
      <c r="B102" s="144" t="s">
        <v>21</v>
      </c>
      <c r="C102" s="129"/>
      <c r="D102" s="133"/>
      <c r="E102" s="121"/>
      <c r="F102" s="133"/>
      <c r="G102" s="121"/>
      <c r="H102" s="133"/>
      <c r="I102" s="121"/>
      <c r="J102" s="133"/>
      <c r="K102" s="121"/>
      <c r="L102" s="133"/>
      <c r="M102" s="121"/>
      <c r="N102" s="133"/>
      <c r="O102" s="152">
        <f>C102*D102+E102*F102+G102*H102+I102*J102+K102*L102*0.25+M102*N102*0.25</f>
        <v>0</v>
      </c>
    </row>
    <row r="103" spans="2:15" x14ac:dyDescent="0.2">
      <c r="B103" s="145" t="s">
        <v>4</v>
      </c>
      <c r="C103" s="130">
        <f>SUMPRODUCT(C98:C102,D98:D102)</f>
        <v>0</v>
      </c>
      <c r="D103" s="134"/>
      <c r="E103" s="122">
        <f>SUMPRODUCT(E98:E102,F98:F102)</f>
        <v>0</v>
      </c>
      <c r="F103" s="134"/>
      <c r="G103" s="122">
        <f>SUMPRODUCT(G98:G102,H98:H102)</f>
        <v>0</v>
      </c>
      <c r="H103" s="134"/>
      <c r="I103" s="122">
        <f>SUMPRODUCT(I98:I102,J98:J102)</f>
        <v>0</v>
      </c>
      <c r="J103" s="134"/>
      <c r="K103" s="122">
        <f>SUMPRODUCT(K98:K102,L98:L102)*0.25</f>
        <v>0</v>
      </c>
      <c r="L103" s="134"/>
      <c r="M103" s="122">
        <f>SUMPRODUCT(M98:M102,N98:N102)*0.25</f>
        <v>0</v>
      </c>
      <c r="N103" s="134"/>
      <c r="O103" s="153">
        <f>SUM(O98:O102)</f>
        <v>0</v>
      </c>
    </row>
    <row r="104" spans="2:15" ht="17" thickBot="1" x14ac:dyDescent="0.25">
      <c r="B104" s="146" t="s">
        <v>6</v>
      </c>
      <c r="C104" s="147"/>
      <c r="D104" s="148"/>
      <c r="E104" s="149"/>
      <c r="F104" s="148"/>
      <c r="G104" s="149"/>
      <c r="H104" s="148"/>
      <c r="I104" s="149"/>
      <c r="J104" s="148"/>
      <c r="K104" s="149"/>
      <c r="L104" s="148"/>
      <c r="M104" s="149"/>
      <c r="N104" s="148"/>
      <c r="O104" s="154"/>
    </row>
    <row r="105" spans="2:15" ht="17" thickBot="1" x14ac:dyDescent="0.25"/>
    <row r="106" spans="2:15" ht="18" customHeight="1" x14ac:dyDescent="0.2">
      <c r="B106" s="255" t="s">
        <v>145</v>
      </c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7"/>
    </row>
    <row r="107" spans="2:15" ht="26" customHeight="1" x14ac:dyDescent="0.2">
      <c r="B107" s="258" t="s">
        <v>5</v>
      </c>
      <c r="C107" s="243" t="s">
        <v>133</v>
      </c>
      <c r="D107" s="244"/>
      <c r="E107" s="245" t="s">
        <v>134</v>
      </c>
      <c r="F107" s="244"/>
      <c r="G107" s="245" t="s">
        <v>135</v>
      </c>
      <c r="H107" s="244"/>
      <c r="I107" s="245" t="s">
        <v>136</v>
      </c>
      <c r="J107" s="244"/>
      <c r="K107" s="259"/>
      <c r="L107" s="260"/>
      <c r="M107" s="260"/>
      <c r="N107" s="260"/>
      <c r="O107" s="261" t="s">
        <v>14</v>
      </c>
    </row>
    <row r="108" spans="2:15" x14ac:dyDescent="0.2">
      <c r="B108" s="155">
        <v>46248</v>
      </c>
      <c r="C108" s="247" t="s">
        <v>137</v>
      </c>
      <c r="D108" s="248"/>
      <c r="E108" s="249" t="s">
        <v>138</v>
      </c>
      <c r="F108" s="248"/>
      <c r="G108" s="249" t="s">
        <v>138</v>
      </c>
      <c r="H108" s="248"/>
      <c r="I108" s="249" t="s">
        <v>139</v>
      </c>
      <c r="J108" s="248"/>
      <c r="K108" s="262"/>
      <c r="L108" s="263"/>
      <c r="M108" s="263"/>
      <c r="N108" s="263"/>
      <c r="O108" s="160"/>
    </row>
    <row r="109" spans="2:15" x14ac:dyDescent="0.2">
      <c r="B109" s="156"/>
      <c r="C109" s="123" t="s">
        <v>0</v>
      </c>
      <c r="D109" s="132" t="s">
        <v>120</v>
      </c>
      <c r="E109" s="120" t="s">
        <v>0</v>
      </c>
      <c r="F109" s="132" t="s">
        <v>120</v>
      </c>
      <c r="G109" s="120" t="s">
        <v>0</v>
      </c>
      <c r="H109" s="132" t="s">
        <v>120</v>
      </c>
      <c r="I109" s="120" t="s">
        <v>0</v>
      </c>
      <c r="J109" s="132" t="s">
        <v>120</v>
      </c>
      <c r="K109" s="264"/>
      <c r="L109" s="265"/>
      <c r="M109" s="265"/>
      <c r="N109" s="265"/>
      <c r="O109" s="161"/>
    </row>
    <row r="110" spans="2:15" x14ac:dyDescent="0.2">
      <c r="B110" s="157" t="s">
        <v>17</v>
      </c>
      <c r="C110" s="129"/>
      <c r="D110" s="133"/>
      <c r="E110" s="121"/>
      <c r="F110" s="133"/>
      <c r="G110" s="121"/>
      <c r="H110" s="133"/>
      <c r="I110" s="121"/>
      <c r="J110" s="133"/>
      <c r="K110" s="266"/>
      <c r="L110" s="267"/>
      <c r="M110" s="267"/>
      <c r="N110" s="267"/>
      <c r="O110" s="162">
        <f>C110*D110+E110*F110+G110*H110+I110*J110</f>
        <v>0</v>
      </c>
    </row>
    <row r="111" spans="2:15" x14ac:dyDescent="0.2">
      <c r="B111" s="157" t="s">
        <v>18</v>
      </c>
      <c r="C111" s="129"/>
      <c r="D111" s="133"/>
      <c r="E111" s="121"/>
      <c r="F111" s="133"/>
      <c r="G111" s="121"/>
      <c r="H111" s="133"/>
      <c r="I111" s="121"/>
      <c r="J111" s="133"/>
      <c r="K111" s="266"/>
      <c r="L111" s="267"/>
      <c r="M111" s="267"/>
      <c r="N111" s="267"/>
      <c r="O111" s="162">
        <f>C111*D111+E111*F111+G111*H111+I111*J111</f>
        <v>0</v>
      </c>
    </row>
    <row r="112" spans="2:15" x14ac:dyDescent="0.2">
      <c r="B112" s="157" t="s">
        <v>19</v>
      </c>
      <c r="C112" s="129"/>
      <c r="D112" s="133"/>
      <c r="E112" s="121"/>
      <c r="F112" s="133"/>
      <c r="G112" s="121"/>
      <c r="H112" s="133"/>
      <c r="I112" s="121"/>
      <c r="J112" s="133"/>
      <c r="K112" s="266"/>
      <c r="L112" s="267"/>
      <c r="M112" s="267"/>
      <c r="N112" s="267"/>
      <c r="O112" s="162">
        <f>C112*D112+E112*F112+G112*H112+I112*J112</f>
        <v>0</v>
      </c>
    </row>
    <row r="113" spans="2:15" x14ac:dyDescent="0.2">
      <c r="B113" s="157" t="s">
        <v>20</v>
      </c>
      <c r="C113" s="129"/>
      <c r="D113" s="133"/>
      <c r="E113" s="121"/>
      <c r="F113" s="133"/>
      <c r="G113" s="121"/>
      <c r="H113" s="133"/>
      <c r="I113" s="121"/>
      <c r="J113" s="133"/>
      <c r="K113" s="266"/>
      <c r="L113" s="267"/>
      <c r="M113" s="267"/>
      <c r="N113" s="267"/>
      <c r="O113" s="162">
        <f>C113*D113+E113*F113+G113*H113+I113*J113</f>
        <v>0</v>
      </c>
    </row>
    <row r="114" spans="2:15" x14ac:dyDescent="0.2">
      <c r="B114" s="157" t="s">
        <v>21</v>
      </c>
      <c r="C114" s="129"/>
      <c r="D114" s="133"/>
      <c r="E114" s="121"/>
      <c r="F114" s="133"/>
      <c r="G114" s="121"/>
      <c r="H114" s="133"/>
      <c r="I114" s="121"/>
      <c r="J114" s="133"/>
      <c r="K114" s="266"/>
      <c r="L114" s="267"/>
      <c r="M114" s="267"/>
      <c r="N114" s="267"/>
      <c r="O114" s="162">
        <f>C114*D114+E114*F114+G114*H114+I114*J114</f>
        <v>0</v>
      </c>
    </row>
    <row r="115" spans="2:15" x14ac:dyDescent="0.2">
      <c r="B115" s="158" t="s">
        <v>4</v>
      </c>
      <c r="C115" s="130">
        <f>SUMPRODUCT(C110:C114,D110:D114)</f>
        <v>0</v>
      </c>
      <c r="D115" s="134"/>
      <c r="E115" s="122">
        <f>SUMPRODUCT(E110:E114,F110:F114)</f>
        <v>0</v>
      </c>
      <c r="F115" s="134"/>
      <c r="G115" s="122">
        <f>SUMPRODUCT(G110:G114,H110:H114)</f>
        <v>0</v>
      </c>
      <c r="H115" s="134"/>
      <c r="I115" s="122">
        <f>SUMPRODUCT(I110:I114,J110:J114)</f>
        <v>0</v>
      </c>
      <c r="J115" s="134"/>
      <c r="K115" s="268"/>
      <c r="L115" s="269"/>
      <c r="M115" s="269"/>
      <c r="N115" s="269"/>
      <c r="O115" s="163">
        <f>SUM(O110:O114)</f>
        <v>0</v>
      </c>
    </row>
    <row r="116" spans="2:15" ht="17" thickBot="1" x14ac:dyDescent="0.25">
      <c r="B116" s="159" t="s">
        <v>6</v>
      </c>
      <c r="C116" s="165"/>
      <c r="D116" s="166"/>
      <c r="E116" s="167"/>
      <c r="F116" s="166"/>
      <c r="G116" s="167"/>
      <c r="H116" s="166"/>
      <c r="I116" s="167"/>
      <c r="J116" s="166"/>
      <c r="K116" s="270"/>
      <c r="L116" s="271"/>
      <c r="M116" s="271"/>
      <c r="N116" s="271"/>
      <c r="O116" s="164"/>
    </row>
    <row r="117" spans="2:15" ht="17" thickBot="1" x14ac:dyDescent="0.25"/>
    <row r="118" spans="2:15" ht="18" customHeight="1" x14ac:dyDescent="0.2">
      <c r="B118" s="215" t="s">
        <v>146</v>
      </c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7"/>
    </row>
    <row r="119" spans="2:15" ht="26" customHeight="1" x14ac:dyDescent="0.2">
      <c r="B119" s="242" t="s">
        <v>5</v>
      </c>
      <c r="C119" s="243" t="s">
        <v>109</v>
      </c>
      <c r="D119" s="244"/>
      <c r="E119" s="245" t="s">
        <v>110</v>
      </c>
      <c r="F119" s="244"/>
      <c r="G119" s="245" t="s">
        <v>48</v>
      </c>
      <c r="H119" s="244"/>
      <c r="I119" s="245" t="s">
        <v>111</v>
      </c>
      <c r="J119" s="244"/>
      <c r="K119" s="245" t="s">
        <v>112</v>
      </c>
      <c r="L119" s="244"/>
      <c r="M119" s="245" t="s">
        <v>113</v>
      </c>
      <c r="N119" s="244"/>
      <c r="O119" s="246" t="s">
        <v>14</v>
      </c>
    </row>
    <row r="120" spans="2:15" x14ac:dyDescent="0.2">
      <c r="B120" s="124">
        <v>46251</v>
      </c>
      <c r="C120" s="247" t="s">
        <v>114</v>
      </c>
      <c r="D120" s="248"/>
      <c r="E120" s="249" t="s">
        <v>115</v>
      </c>
      <c r="F120" s="248"/>
      <c r="G120" s="249" t="s">
        <v>116</v>
      </c>
      <c r="H120" s="248"/>
      <c r="I120" s="249" t="s">
        <v>117</v>
      </c>
      <c r="J120" s="248"/>
      <c r="K120" s="249" t="s">
        <v>118</v>
      </c>
      <c r="L120" s="248"/>
      <c r="M120" s="249" t="s">
        <v>119</v>
      </c>
      <c r="N120" s="248"/>
      <c r="O120" s="137"/>
    </row>
    <row r="121" spans="2:15" x14ac:dyDescent="0.2">
      <c r="B121" s="125"/>
      <c r="C121" s="123" t="s">
        <v>0</v>
      </c>
      <c r="D121" s="132" t="s">
        <v>120</v>
      </c>
      <c r="E121" s="120" t="s">
        <v>0</v>
      </c>
      <c r="F121" s="132" t="s">
        <v>120</v>
      </c>
      <c r="G121" s="120" t="s">
        <v>0</v>
      </c>
      <c r="H121" s="132" t="s">
        <v>120</v>
      </c>
      <c r="I121" s="120" t="s">
        <v>0</v>
      </c>
      <c r="J121" s="132" t="s">
        <v>120</v>
      </c>
      <c r="K121" s="120" t="s">
        <v>0</v>
      </c>
      <c r="L121" s="132" t="s">
        <v>120</v>
      </c>
      <c r="M121" s="120" t="s">
        <v>0</v>
      </c>
      <c r="N121" s="132" t="s">
        <v>120</v>
      </c>
      <c r="O121" s="138"/>
    </row>
    <row r="122" spans="2:15" x14ac:dyDescent="0.2">
      <c r="B122" s="126" t="s">
        <v>17</v>
      </c>
      <c r="C122" s="129"/>
      <c r="D122" s="133"/>
      <c r="E122" s="121"/>
      <c r="F122" s="133"/>
      <c r="G122" s="121"/>
      <c r="H122" s="133"/>
      <c r="I122" s="121"/>
      <c r="J122" s="133"/>
      <c r="K122" s="121"/>
      <c r="L122" s="133"/>
      <c r="M122" s="121"/>
      <c r="N122" s="133"/>
      <c r="O122" s="139">
        <f>C122*D122+E122*F122+G122*H122+I122*J122+K122*L122*0.25+M122*N122*0.25</f>
        <v>0</v>
      </c>
    </row>
    <row r="123" spans="2:15" x14ac:dyDescent="0.2">
      <c r="B123" s="126" t="s">
        <v>18</v>
      </c>
      <c r="C123" s="129"/>
      <c r="D123" s="133"/>
      <c r="E123" s="121"/>
      <c r="F123" s="133"/>
      <c r="G123" s="121"/>
      <c r="H123" s="133"/>
      <c r="I123" s="121"/>
      <c r="J123" s="133"/>
      <c r="K123" s="121"/>
      <c r="L123" s="133"/>
      <c r="M123" s="121"/>
      <c r="N123" s="133"/>
      <c r="O123" s="139">
        <f>C123*D123+E123*F123+G123*H123+I123*J123+K123*L123*0.25+M123*N123*0.25</f>
        <v>0</v>
      </c>
    </row>
    <row r="124" spans="2:15" x14ac:dyDescent="0.2">
      <c r="B124" s="126" t="s">
        <v>19</v>
      </c>
      <c r="C124" s="129"/>
      <c r="D124" s="133"/>
      <c r="E124" s="121"/>
      <c r="F124" s="133"/>
      <c r="G124" s="121"/>
      <c r="H124" s="133"/>
      <c r="I124" s="121"/>
      <c r="J124" s="133"/>
      <c r="K124" s="121"/>
      <c r="L124" s="133"/>
      <c r="M124" s="121"/>
      <c r="N124" s="133"/>
      <c r="O124" s="139">
        <f>C124*D124+E124*F124+G124*H124+I124*J124+K124*L124*0.25+M124*N124*0.25</f>
        <v>0</v>
      </c>
    </row>
    <row r="125" spans="2:15" x14ac:dyDescent="0.2">
      <c r="B125" s="126" t="s">
        <v>20</v>
      </c>
      <c r="C125" s="129"/>
      <c r="D125" s="133"/>
      <c r="E125" s="121"/>
      <c r="F125" s="133"/>
      <c r="G125" s="121"/>
      <c r="H125" s="133"/>
      <c r="I125" s="121"/>
      <c r="J125" s="133"/>
      <c r="K125" s="121"/>
      <c r="L125" s="133"/>
      <c r="M125" s="121"/>
      <c r="N125" s="133"/>
      <c r="O125" s="139">
        <f>C125*D125+E125*F125+G125*H125+I125*J125+K125*L125*0.25+M125*N125*0.25</f>
        <v>0</v>
      </c>
    </row>
    <row r="126" spans="2:15" x14ac:dyDescent="0.2">
      <c r="B126" s="126" t="s">
        <v>21</v>
      </c>
      <c r="C126" s="129"/>
      <c r="D126" s="133"/>
      <c r="E126" s="121"/>
      <c r="F126" s="133"/>
      <c r="G126" s="121"/>
      <c r="H126" s="133"/>
      <c r="I126" s="121"/>
      <c r="J126" s="133"/>
      <c r="K126" s="121"/>
      <c r="L126" s="133"/>
      <c r="M126" s="121"/>
      <c r="N126" s="133"/>
      <c r="O126" s="139">
        <f>C126*D126+E126*F126+G126*H126+I126*J126+K126*L126*0.25+M126*N126*0.25</f>
        <v>0</v>
      </c>
    </row>
    <row r="127" spans="2:15" x14ac:dyDescent="0.2">
      <c r="B127" s="127" t="s">
        <v>4</v>
      </c>
      <c r="C127" s="130">
        <f>SUMPRODUCT(C122:C126,D122:D126)</f>
        <v>0</v>
      </c>
      <c r="D127" s="134"/>
      <c r="E127" s="122">
        <f>SUMPRODUCT(E122:E126,F122:F126)</f>
        <v>0</v>
      </c>
      <c r="F127" s="134"/>
      <c r="G127" s="122">
        <f>SUMPRODUCT(G122:G126,H122:H126)</f>
        <v>0</v>
      </c>
      <c r="H127" s="134"/>
      <c r="I127" s="122">
        <f>SUMPRODUCT(I122:I126,J122:J126)</f>
        <v>0</v>
      </c>
      <c r="J127" s="134"/>
      <c r="K127" s="122">
        <f>SUMPRODUCT(K122:K126,L122:L126)*0.25</f>
        <v>0</v>
      </c>
      <c r="L127" s="134"/>
      <c r="M127" s="122">
        <f>SUMPRODUCT(M122:M126,N122:N126)*0.25</f>
        <v>0</v>
      </c>
      <c r="N127" s="134"/>
      <c r="O127" s="140">
        <f>SUM(O122:O126)</f>
        <v>0</v>
      </c>
    </row>
    <row r="128" spans="2:15" ht="17" thickBot="1" x14ac:dyDescent="0.25">
      <c r="B128" s="128" t="s">
        <v>6</v>
      </c>
      <c r="C128" s="131"/>
      <c r="D128" s="135"/>
      <c r="E128" s="136"/>
      <c r="F128" s="135"/>
      <c r="G128" s="136"/>
      <c r="H128" s="135"/>
      <c r="I128" s="136"/>
      <c r="J128" s="135"/>
      <c r="K128" s="136"/>
      <c r="L128" s="135"/>
      <c r="M128" s="136"/>
      <c r="N128" s="135"/>
      <c r="O128" s="141"/>
    </row>
    <row r="129" spans="2:15" ht="17" thickBot="1" x14ac:dyDescent="0.25"/>
    <row r="130" spans="2:15" ht="18" customHeight="1" x14ac:dyDescent="0.2">
      <c r="B130" s="250" t="s">
        <v>147</v>
      </c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2"/>
    </row>
    <row r="131" spans="2:15" ht="26" customHeight="1" x14ac:dyDescent="0.2">
      <c r="B131" s="253" t="s">
        <v>5</v>
      </c>
      <c r="C131" s="243" t="s">
        <v>2</v>
      </c>
      <c r="D131" s="244"/>
      <c r="E131" s="245" t="s">
        <v>122</v>
      </c>
      <c r="F131" s="244"/>
      <c r="G131" s="245" t="s">
        <v>123</v>
      </c>
      <c r="H131" s="244"/>
      <c r="I131" s="245" t="s">
        <v>124</v>
      </c>
      <c r="J131" s="244"/>
      <c r="K131" s="245" t="s">
        <v>125</v>
      </c>
      <c r="L131" s="244"/>
      <c r="M131" s="245" t="s">
        <v>126</v>
      </c>
      <c r="N131" s="244"/>
      <c r="O131" s="254" t="s">
        <v>14</v>
      </c>
    </row>
    <row r="132" spans="2:15" x14ac:dyDescent="0.2">
      <c r="B132" s="142">
        <v>46253</v>
      </c>
      <c r="C132" s="247" t="s">
        <v>127</v>
      </c>
      <c r="D132" s="248"/>
      <c r="E132" s="249" t="s">
        <v>128</v>
      </c>
      <c r="F132" s="248"/>
      <c r="G132" s="249" t="s">
        <v>117</v>
      </c>
      <c r="H132" s="248"/>
      <c r="I132" s="249" t="s">
        <v>129</v>
      </c>
      <c r="J132" s="248"/>
      <c r="K132" s="249" t="s">
        <v>130</v>
      </c>
      <c r="L132" s="248"/>
      <c r="M132" s="249" t="s">
        <v>131</v>
      </c>
      <c r="N132" s="248"/>
      <c r="O132" s="150"/>
    </row>
    <row r="133" spans="2:15" x14ac:dyDescent="0.2">
      <c r="B133" s="143"/>
      <c r="C133" s="123" t="s">
        <v>0</v>
      </c>
      <c r="D133" s="132" t="s">
        <v>120</v>
      </c>
      <c r="E133" s="120" t="s">
        <v>0</v>
      </c>
      <c r="F133" s="132" t="s">
        <v>120</v>
      </c>
      <c r="G133" s="120" t="s">
        <v>0</v>
      </c>
      <c r="H133" s="132" t="s">
        <v>120</v>
      </c>
      <c r="I133" s="120" t="s">
        <v>0</v>
      </c>
      <c r="J133" s="132" t="s">
        <v>120</v>
      </c>
      <c r="K133" s="120" t="s">
        <v>0</v>
      </c>
      <c r="L133" s="132" t="s">
        <v>120</v>
      </c>
      <c r="M133" s="120" t="s">
        <v>0</v>
      </c>
      <c r="N133" s="132" t="s">
        <v>120</v>
      </c>
      <c r="O133" s="151"/>
    </row>
    <row r="134" spans="2:15" x14ac:dyDescent="0.2">
      <c r="B134" s="144" t="s">
        <v>17</v>
      </c>
      <c r="C134" s="129"/>
      <c r="D134" s="133"/>
      <c r="E134" s="121"/>
      <c r="F134" s="133"/>
      <c r="G134" s="121"/>
      <c r="H134" s="133"/>
      <c r="I134" s="121"/>
      <c r="J134" s="133"/>
      <c r="K134" s="121"/>
      <c r="L134" s="133"/>
      <c r="M134" s="121"/>
      <c r="N134" s="133"/>
      <c r="O134" s="152">
        <f>C134*D134+E134*F134+G134*H134+I134*J134+K134*L134*0.25+M134*N134*0.25</f>
        <v>0</v>
      </c>
    </row>
    <row r="135" spans="2:15" x14ac:dyDescent="0.2">
      <c r="B135" s="144" t="s">
        <v>18</v>
      </c>
      <c r="C135" s="129"/>
      <c r="D135" s="133"/>
      <c r="E135" s="121"/>
      <c r="F135" s="133"/>
      <c r="G135" s="121"/>
      <c r="H135" s="133"/>
      <c r="I135" s="121"/>
      <c r="J135" s="133"/>
      <c r="K135" s="121"/>
      <c r="L135" s="133"/>
      <c r="M135" s="121"/>
      <c r="N135" s="133"/>
      <c r="O135" s="152">
        <f>C135*D135+E135*F135+G135*H135+I135*J135+K135*L135*0.25+M135*N135*0.25</f>
        <v>0</v>
      </c>
    </row>
    <row r="136" spans="2:15" x14ac:dyDescent="0.2">
      <c r="B136" s="144" t="s">
        <v>19</v>
      </c>
      <c r="C136" s="129"/>
      <c r="D136" s="133"/>
      <c r="E136" s="121"/>
      <c r="F136" s="133"/>
      <c r="G136" s="121"/>
      <c r="H136" s="133"/>
      <c r="I136" s="121"/>
      <c r="J136" s="133"/>
      <c r="K136" s="121"/>
      <c r="L136" s="133"/>
      <c r="M136" s="121"/>
      <c r="N136" s="133"/>
      <c r="O136" s="152">
        <f>C136*D136+E136*F136+G136*H136+I136*J136+K136*L136*0.25+M136*N136*0.25</f>
        <v>0</v>
      </c>
    </row>
    <row r="137" spans="2:15" x14ac:dyDescent="0.2">
      <c r="B137" s="144" t="s">
        <v>20</v>
      </c>
      <c r="C137" s="129"/>
      <c r="D137" s="133"/>
      <c r="E137" s="121"/>
      <c r="F137" s="133"/>
      <c r="G137" s="121"/>
      <c r="H137" s="133"/>
      <c r="I137" s="121"/>
      <c r="J137" s="133"/>
      <c r="K137" s="121"/>
      <c r="L137" s="133"/>
      <c r="M137" s="121"/>
      <c r="N137" s="133"/>
      <c r="O137" s="152">
        <f>C137*D137+E137*F137+G137*H137+I137*J137+K137*L137*0.25+M137*N137*0.25</f>
        <v>0</v>
      </c>
    </row>
    <row r="138" spans="2:15" x14ac:dyDescent="0.2">
      <c r="B138" s="144" t="s">
        <v>21</v>
      </c>
      <c r="C138" s="129"/>
      <c r="D138" s="133"/>
      <c r="E138" s="121"/>
      <c r="F138" s="133"/>
      <c r="G138" s="121"/>
      <c r="H138" s="133"/>
      <c r="I138" s="121"/>
      <c r="J138" s="133"/>
      <c r="K138" s="121"/>
      <c r="L138" s="133"/>
      <c r="M138" s="121"/>
      <c r="N138" s="133"/>
      <c r="O138" s="152">
        <f>C138*D138+E138*F138+G138*H138+I138*J138+K138*L138*0.25+M138*N138*0.25</f>
        <v>0</v>
      </c>
    </row>
    <row r="139" spans="2:15" x14ac:dyDescent="0.2">
      <c r="B139" s="145" t="s">
        <v>4</v>
      </c>
      <c r="C139" s="130">
        <f>SUMPRODUCT(C134:C138,D134:D138)</f>
        <v>0</v>
      </c>
      <c r="D139" s="134"/>
      <c r="E139" s="122">
        <f>SUMPRODUCT(E134:E138,F134:F138)</f>
        <v>0</v>
      </c>
      <c r="F139" s="134"/>
      <c r="G139" s="122">
        <f>SUMPRODUCT(G134:G138,H134:H138)</f>
        <v>0</v>
      </c>
      <c r="H139" s="134"/>
      <c r="I139" s="122">
        <f>SUMPRODUCT(I134:I138,J134:J138)</f>
        <v>0</v>
      </c>
      <c r="J139" s="134"/>
      <c r="K139" s="122">
        <f>SUMPRODUCT(K134:K138,L134:L138)*0.25</f>
        <v>0</v>
      </c>
      <c r="L139" s="134"/>
      <c r="M139" s="122">
        <f>SUMPRODUCT(M134:M138,N134:N138)*0.25</f>
        <v>0</v>
      </c>
      <c r="N139" s="134"/>
      <c r="O139" s="153">
        <f>SUM(O134:O138)</f>
        <v>0</v>
      </c>
    </row>
    <row r="140" spans="2:15" ht="17" thickBot="1" x14ac:dyDescent="0.25">
      <c r="B140" s="146" t="s">
        <v>6</v>
      </c>
      <c r="C140" s="147"/>
      <c r="D140" s="148"/>
      <c r="E140" s="149"/>
      <c r="F140" s="148"/>
      <c r="G140" s="149"/>
      <c r="H140" s="148"/>
      <c r="I140" s="149"/>
      <c r="J140" s="148"/>
      <c r="K140" s="149"/>
      <c r="L140" s="148"/>
      <c r="M140" s="149"/>
      <c r="N140" s="148"/>
      <c r="O140" s="154"/>
    </row>
    <row r="141" spans="2:15" ht="17" thickBot="1" x14ac:dyDescent="0.25"/>
    <row r="142" spans="2:15" ht="18" customHeight="1" x14ac:dyDescent="0.2">
      <c r="B142" s="255" t="s">
        <v>148</v>
      </c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7"/>
    </row>
    <row r="143" spans="2:15" ht="26" customHeight="1" x14ac:dyDescent="0.2">
      <c r="B143" s="258" t="s">
        <v>5</v>
      </c>
      <c r="C143" s="243" t="s">
        <v>133</v>
      </c>
      <c r="D143" s="244"/>
      <c r="E143" s="245" t="s">
        <v>134</v>
      </c>
      <c r="F143" s="244"/>
      <c r="G143" s="245" t="s">
        <v>135</v>
      </c>
      <c r="H143" s="244"/>
      <c r="I143" s="245" t="s">
        <v>136</v>
      </c>
      <c r="J143" s="244"/>
      <c r="K143" s="259"/>
      <c r="L143" s="260"/>
      <c r="M143" s="260"/>
      <c r="N143" s="260"/>
      <c r="O143" s="261" t="s">
        <v>14</v>
      </c>
    </row>
    <row r="144" spans="2:15" x14ac:dyDescent="0.2">
      <c r="B144" s="155">
        <v>46255</v>
      </c>
      <c r="C144" s="247" t="s">
        <v>137</v>
      </c>
      <c r="D144" s="248"/>
      <c r="E144" s="249" t="s">
        <v>138</v>
      </c>
      <c r="F144" s="248"/>
      <c r="G144" s="249" t="s">
        <v>138</v>
      </c>
      <c r="H144" s="248"/>
      <c r="I144" s="249" t="s">
        <v>139</v>
      </c>
      <c r="J144" s="248"/>
      <c r="K144" s="262"/>
      <c r="L144" s="263"/>
      <c r="M144" s="263"/>
      <c r="N144" s="263"/>
      <c r="O144" s="160"/>
    </row>
    <row r="145" spans="2:15" x14ac:dyDescent="0.2">
      <c r="B145" s="156"/>
      <c r="C145" s="123" t="s">
        <v>0</v>
      </c>
      <c r="D145" s="132" t="s">
        <v>120</v>
      </c>
      <c r="E145" s="120" t="s">
        <v>0</v>
      </c>
      <c r="F145" s="132" t="s">
        <v>120</v>
      </c>
      <c r="G145" s="120" t="s">
        <v>0</v>
      </c>
      <c r="H145" s="132" t="s">
        <v>120</v>
      </c>
      <c r="I145" s="120" t="s">
        <v>0</v>
      </c>
      <c r="J145" s="132" t="s">
        <v>120</v>
      </c>
      <c r="K145" s="264"/>
      <c r="L145" s="265"/>
      <c r="M145" s="265"/>
      <c r="N145" s="265"/>
      <c r="O145" s="161"/>
    </row>
    <row r="146" spans="2:15" x14ac:dyDescent="0.2">
      <c r="B146" s="157" t="s">
        <v>17</v>
      </c>
      <c r="C146" s="129"/>
      <c r="D146" s="133"/>
      <c r="E146" s="121"/>
      <c r="F146" s="133"/>
      <c r="G146" s="121"/>
      <c r="H146" s="133"/>
      <c r="I146" s="121"/>
      <c r="J146" s="133"/>
      <c r="K146" s="266"/>
      <c r="L146" s="267"/>
      <c r="M146" s="267"/>
      <c r="N146" s="267"/>
      <c r="O146" s="162">
        <f>C146*D146+E146*F146+G146*H146+I146*J146</f>
        <v>0</v>
      </c>
    </row>
    <row r="147" spans="2:15" x14ac:dyDescent="0.2">
      <c r="B147" s="157" t="s">
        <v>18</v>
      </c>
      <c r="C147" s="129"/>
      <c r="D147" s="133"/>
      <c r="E147" s="121"/>
      <c r="F147" s="133"/>
      <c r="G147" s="121"/>
      <c r="H147" s="133"/>
      <c r="I147" s="121"/>
      <c r="J147" s="133"/>
      <c r="K147" s="266"/>
      <c r="L147" s="267"/>
      <c r="M147" s="267"/>
      <c r="N147" s="267"/>
      <c r="O147" s="162">
        <f>C147*D147+E147*F147+G147*H147+I147*J147</f>
        <v>0</v>
      </c>
    </row>
    <row r="148" spans="2:15" x14ac:dyDescent="0.2">
      <c r="B148" s="157" t="s">
        <v>19</v>
      </c>
      <c r="C148" s="129"/>
      <c r="D148" s="133"/>
      <c r="E148" s="121"/>
      <c r="F148" s="133"/>
      <c r="G148" s="121"/>
      <c r="H148" s="133"/>
      <c r="I148" s="121"/>
      <c r="J148" s="133"/>
      <c r="K148" s="266"/>
      <c r="L148" s="267"/>
      <c r="M148" s="267"/>
      <c r="N148" s="267"/>
      <c r="O148" s="162">
        <f>C148*D148+E148*F148+G148*H148+I148*J148</f>
        <v>0</v>
      </c>
    </row>
    <row r="149" spans="2:15" x14ac:dyDescent="0.2">
      <c r="B149" s="157" t="s">
        <v>20</v>
      </c>
      <c r="C149" s="129"/>
      <c r="D149" s="133"/>
      <c r="E149" s="121"/>
      <c r="F149" s="133"/>
      <c r="G149" s="121"/>
      <c r="H149" s="133"/>
      <c r="I149" s="121"/>
      <c r="J149" s="133"/>
      <c r="K149" s="266"/>
      <c r="L149" s="267"/>
      <c r="M149" s="267"/>
      <c r="N149" s="267"/>
      <c r="O149" s="162">
        <f>C149*D149+E149*F149+G149*H149+I149*J149</f>
        <v>0</v>
      </c>
    </row>
    <row r="150" spans="2:15" x14ac:dyDescent="0.2">
      <c r="B150" s="157" t="s">
        <v>21</v>
      </c>
      <c r="C150" s="129"/>
      <c r="D150" s="133"/>
      <c r="E150" s="121"/>
      <c r="F150" s="133"/>
      <c r="G150" s="121"/>
      <c r="H150" s="133"/>
      <c r="I150" s="121"/>
      <c r="J150" s="133"/>
      <c r="K150" s="266"/>
      <c r="L150" s="267"/>
      <c r="M150" s="267"/>
      <c r="N150" s="267"/>
      <c r="O150" s="162">
        <f>C150*D150+E150*F150+G150*H150+I150*J150</f>
        <v>0</v>
      </c>
    </row>
    <row r="151" spans="2:15" x14ac:dyDescent="0.2">
      <c r="B151" s="158" t="s">
        <v>4</v>
      </c>
      <c r="C151" s="130">
        <f>SUMPRODUCT(C146:C150,D146:D150)</f>
        <v>0</v>
      </c>
      <c r="D151" s="134"/>
      <c r="E151" s="122">
        <f>SUMPRODUCT(E146:E150,F146:F150)</f>
        <v>0</v>
      </c>
      <c r="F151" s="134"/>
      <c r="G151" s="122">
        <f>SUMPRODUCT(G146:G150,H146:H150)</f>
        <v>0</v>
      </c>
      <c r="H151" s="134"/>
      <c r="I151" s="122">
        <f>SUMPRODUCT(I146:I150,J146:J150)</f>
        <v>0</v>
      </c>
      <c r="J151" s="134"/>
      <c r="K151" s="268"/>
      <c r="L151" s="269"/>
      <c r="M151" s="269"/>
      <c r="N151" s="269"/>
      <c r="O151" s="163">
        <f>SUM(O146:O150)</f>
        <v>0</v>
      </c>
    </row>
    <row r="152" spans="2:15" ht="17" thickBot="1" x14ac:dyDescent="0.25">
      <c r="B152" s="159" t="s">
        <v>6</v>
      </c>
      <c r="C152" s="165"/>
      <c r="D152" s="166"/>
      <c r="E152" s="167"/>
      <c r="F152" s="166"/>
      <c r="G152" s="167"/>
      <c r="H152" s="166"/>
      <c r="I152" s="167"/>
      <c r="J152" s="166"/>
      <c r="K152" s="270"/>
      <c r="L152" s="271"/>
      <c r="M152" s="271"/>
      <c r="N152" s="271"/>
      <c r="O152" s="164"/>
    </row>
    <row r="153" spans="2:15" ht="17" thickBot="1" x14ac:dyDescent="0.25"/>
    <row r="154" spans="2:15" ht="18" customHeight="1" x14ac:dyDescent="0.2">
      <c r="B154" s="215" t="s">
        <v>149</v>
      </c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7"/>
    </row>
    <row r="155" spans="2:15" ht="26" customHeight="1" x14ac:dyDescent="0.2">
      <c r="B155" s="242" t="s">
        <v>5</v>
      </c>
      <c r="C155" s="243" t="s">
        <v>109</v>
      </c>
      <c r="D155" s="244"/>
      <c r="E155" s="245" t="s">
        <v>110</v>
      </c>
      <c r="F155" s="244"/>
      <c r="G155" s="245" t="s">
        <v>48</v>
      </c>
      <c r="H155" s="244"/>
      <c r="I155" s="245" t="s">
        <v>111</v>
      </c>
      <c r="J155" s="244"/>
      <c r="K155" s="245" t="s">
        <v>112</v>
      </c>
      <c r="L155" s="244"/>
      <c r="M155" s="245" t="s">
        <v>113</v>
      </c>
      <c r="N155" s="244"/>
      <c r="O155" s="246" t="s">
        <v>14</v>
      </c>
    </row>
    <row r="156" spans="2:15" x14ac:dyDescent="0.2">
      <c r="B156" s="124">
        <v>46258</v>
      </c>
      <c r="C156" s="247" t="s">
        <v>114</v>
      </c>
      <c r="D156" s="248"/>
      <c r="E156" s="249" t="s">
        <v>115</v>
      </c>
      <c r="F156" s="248"/>
      <c r="G156" s="249" t="s">
        <v>116</v>
      </c>
      <c r="H156" s="248"/>
      <c r="I156" s="249" t="s">
        <v>117</v>
      </c>
      <c r="J156" s="248"/>
      <c r="K156" s="249" t="s">
        <v>118</v>
      </c>
      <c r="L156" s="248"/>
      <c r="M156" s="249" t="s">
        <v>119</v>
      </c>
      <c r="N156" s="248"/>
      <c r="O156" s="137"/>
    </row>
    <row r="157" spans="2:15" x14ac:dyDescent="0.2">
      <c r="B157" s="125"/>
      <c r="C157" s="123" t="s">
        <v>0</v>
      </c>
      <c r="D157" s="132" t="s">
        <v>120</v>
      </c>
      <c r="E157" s="120" t="s">
        <v>0</v>
      </c>
      <c r="F157" s="132" t="s">
        <v>120</v>
      </c>
      <c r="G157" s="120" t="s">
        <v>0</v>
      </c>
      <c r="H157" s="132" t="s">
        <v>120</v>
      </c>
      <c r="I157" s="120" t="s">
        <v>0</v>
      </c>
      <c r="J157" s="132" t="s">
        <v>120</v>
      </c>
      <c r="K157" s="120" t="s">
        <v>0</v>
      </c>
      <c r="L157" s="132" t="s">
        <v>120</v>
      </c>
      <c r="M157" s="120" t="s">
        <v>0</v>
      </c>
      <c r="N157" s="132" t="s">
        <v>120</v>
      </c>
      <c r="O157" s="138"/>
    </row>
    <row r="158" spans="2:15" x14ac:dyDescent="0.2">
      <c r="B158" s="126" t="s">
        <v>17</v>
      </c>
      <c r="C158" s="129"/>
      <c r="D158" s="133"/>
      <c r="E158" s="121"/>
      <c r="F158" s="133"/>
      <c r="G158" s="121"/>
      <c r="H158" s="133"/>
      <c r="I158" s="121"/>
      <c r="J158" s="133"/>
      <c r="K158" s="121"/>
      <c r="L158" s="133"/>
      <c r="M158" s="121"/>
      <c r="N158" s="133"/>
      <c r="O158" s="139">
        <f>C158*D158+E158*F158+G158*H158+I158*J158+K158*L158*0.25+M158*N158*0.25</f>
        <v>0</v>
      </c>
    </row>
    <row r="159" spans="2:15" x14ac:dyDescent="0.2">
      <c r="B159" s="126" t="s">
        <v>18</v>
      </c>
      <c r="C159" s="129"/>
      <c r="D159" s="133"/>
      <c r="E159" s="121"/>
      <c r="F159" s="133"/>
      <c r="G159" s="121"/>
      <c r="H159" s="133"/>
      <c r="I159" s="121"/>
      <c r="J159" s="133"/>
      <c r="K159" s="121"/>
      <c r="L159" s="133"/>
      <c r="M159" s="121"/>
      <c r="N159" s="133"/>
      <c r="O159" s="139">
        <f>C159*D159+E159*F159+G159*H159+I159*J159+K159*L159*0.25+M159*N159*0.25</f>
        <v>0</v>
      </c>
    </row>
    <row r="160" spans="2:15" x14ac:dyDescent="0.2">
      <c r="B160" s="126" t="s">
        <v>19</v>
      </c>
      <c r="C160" s="129"/>
      <c r="D160" s="133"/>
      <c r="E160" s="121"/>
      <c r="F160" s="133"/>
      <c r="G160" s="121"/>
      <c r="H160" s="133"/>
      <c r="I160" s="121"/>
      <c r="J160" s="133"/>
      <c r="K160" s="121"/>
      <c r="L160" s="133"/>
      <c r="M160" s="121"/>
      <c r="N160" s="133"/>
      <c r="O160" s="139">
        <f>C160*D160+E160*F160+G160*H160+I160*J160+K160*L160*0.25+M160*N160*0.25</f>
        <v>0</v>
      </c>
    </row>
    <row r="161" spans="2:15" x14ac:dyDescent="0.2">
      <c r="B161" s="126" t="s">
        <v>20</v>
      </c>
      <c r="C161" s="129"/>
      <c r="D161" s="133"/>
      <c r="E161" s="121"/>
      <c r="F161" s="133"/>
      <c r="G161" s="121"/>
      <c r="H161" s="133"/>
      <c r="I161" s="121"/>
      <c r="J161" s="133"/>
      <c r="K161" s="121"/>
      <c r="L161" s="133"/>
      <c r="M161" s="121"/>
      <c r="N161" s="133"/>
      <c r="O161" s="139">
        <f>C161*D161+E161*F161+G161*H161+I161*J161+K161*L161*0.25+M161*N161*0.25</f>
        <v>0</v>
      </c>
    </row>
    <row r="162" spans="2:15" x14ac:dyDescent="0.2">
      <c r="B162" s="126" t="s">
        <v>21</v>
      </c>
      <c r="C162" s="129"/>
      <c r="D162" s="133"/>
      <c r="E162" s="121"/>
      <c r="F162" s="133"/>
      <c r="G162" s="121"/>
      <c r="H162" s="133"/>
      <c r="I162" s="121"/>
      <c r="J162" s="133"/>
      <c r="K162" s="121"/>
      <c r="L162" s="133"/>
      <c r="M162" s="121"/>
      <c r="N162" s="133"/>
      <c r="O162" s="139">
        <f>C162*D162+E162*F162+G162*H162+I162*J162+K162*L162*0.25+M162*N162*0.25</f>
        <v>0</v>
      </c>
    </row>
    <row r="163" spans="2:15" x14ac:dyDescent="0.2">
      <c r="B163" s="127" t="s">
        <v>4</v>
      </c>
      <c r="C163" s="130">
        <f>SUMPRODUCT(C158:C162,D158:D162)</f>
        <v>0</v>
      </c>
      <c r="D163" s="134"/>
      <c r="E163" s="122">
        <f>SUMPRODUCT(E158:E162,F158:F162)</f>
        <v>0</v>
      </c>
      <c r="F163" s="134"/>
      <c r="G163" s="122">
        <f>SUMPRODUCT(G158:G162,H158:H162)</f>
        <v>0</v>
      </c>
      <c r="H163" s="134"/>
      <c r="I163" s="122">
        <f>SUMPRODUCT(I158:I162,J158:J162)</f>
        <v>0</v>
      </c>
      <c r="J163" s="134"/>
      <c r="K163" s="122">
        <f>SUMPRODUCT(K158:K162,L158:L162)*0.25</f>
        <v>0</v>
      </c>
      <c r="L163" s="134"/>
      <c r="M163" s="122">
        <f>SUMPRODUCT(M158:M162,N158:N162)*0.25</f>
        <v>0</v>
      </c>
      <c r="N163" s="134"/>
      <c r="O163" s="140">
        <f>SUM(O158:O162)</f>
        <v>0</v>
      </c>
    </row>
    <row r="164" spans="2:15" ht="17" thickBot="1" x14ac:dyDescent="0.25">
      <c r="B164" s="128" t="s">
        <v>6</v>
      </c>
      <c r="C164" s="131"/>
      <c r="D164" s="135"/>
      <c r="E164" s="136"/>
      <c r="F164" s="135"/>
      <c r="G164" s="136"/>
      <c r="H164" s="135"/>
      <c r="I164" s="136"/>
      <c r="J164" s="135"/>
      <c r="K164" s="136"/>
      <c r="L164" s="135"/>
      <c r="M164" s="136"/>
      <c r="N164" s="135"/>
      <c r="O164" s="141"/>
    </row>
    <row r="165" spans="2:15" ht="17" thickBot="1" x14ac:dyDescent="0.25"/>
    <row r="166" spans="2:15" ht="18" customHeight="1" x14ac:dyDescent="0.2">
      <c r="B166" s="250" t="s">
        <v>150</v>
      </c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2"/>
    </row>
    <row r="167" spans="2:15" ht="26" customHeight="1" x14ac:dyDescent="0.2">
      <c r="B167" s="253" t="s">
        <v>5</v>
      </c>
      <c r="C167" s="243" t="s">
        <v>2</v>
      </c>
      <c r="D167" s="244"/>
      <c r="E167" s="245" t="s">
        <v>122</v>
      </c>
      <c r="F167" s="244"/>
      <c r="G167" s="245" t="s">
        <v>123</v>
      </c>
      <c r="H167" s="244"/>
      <c r="I167" s="245" t="s">
        <v>124</v>
      </c>
      <c r="J167" s="244"/>
      <c r="K167" s="245" t="s">
        <v>125</v>
      </c>
      <c r="L167" s="244"/>
      <c r="M167" s="245" t="s">
        <v>126</v>
      </c>
      <c r="N167" s="244"/>
      <c r="O167" s="254" t="s">
        <v>14</v>
      </c>
    </row>
    <row r="168" spans="2:15" x14ac:dyDescent="0.2">
      <c r="B168" s="142">
        <v>46260</v>
      </c>
      <c r="C168" s="247" t="s">
        <v>127</v>
      </c>
      <c r="D168" s="248"/>
      <c r="E168" s="249" t="s">
        <v>128</v>
      </c>
      <c r="F168" s="248"/>
      <c r="G168" s="249" t="s">
        <v>117</v>
      </c>
      <c r="H168" s="248"/>
      <c r="I168" s="249" t="s">
        <v>129</v>
      </c>
      <c r="J168" s="248"/>
      <c r="K168" s="249" t="s">
        <v>130</v>
      </c>
      <c r="L168" s="248"/>
      <c r="M168" s="249" t="s">
        <v>131</v>
      </c>
      <c r="N168" s="248"/>
      <c r="O168" s="150"/>
    </row>
    <row r="169" spans="2:15" x14ac:dyDescent="0.2">
      <c r="B169" s="143"/>
      <c r="C169" s="123" t="s">
        <v>0</v>
      </c>
      <c r="D169" s="132" t="s">
        <v>120</v>
      </c>
      <c r="E169" s="120" t="s">
        <v>0</v>
      </c>
      <c r="F169" s="132" t="s">
        <v>120</v>
      </c>
      <c r="G169" s="120" t="s">
        <v>0</v>
      </c>
      <c r="H169" s="132" t="s">
        <v>120</v>
      </c>
      <c r="I169" s="120" t="s">
        <v>0</v>
      </c>
      <c r="J169" s="132" t="s">
        <v>120</v>
      </c>
      <c r="K169" s="120" t="s">
        <v>0</v>
      </c>
      <c r="L169" s="132" t="s">
        <v>120</v>
      </c>
      <c r="M169" s="120" t="s">
        <v>0</v>
      </c>
      <c r="N169" s="132" t="s">
        <v>120</v>
      </c>
      <c r="O169" s="151"/>
    </row>
    <row r="170" spans="2:15" x14ac:dyDescent="0.2">
      <c r="B170" s="144" t="s">
        <v>17</v>
      </c>
      <c r="C170" s="129"/>
      <c r="D170" s="133"/>
      <c r="E170" s="121"/>
      <c r="F170" s="133"/>
      <c r="G170" s="121"/>
      <c r="H170" s="133"/>
      <c r="I170" s="121"/>
      <c r="J170" s="133"/>
      <c r="K170" s="121"/>
      <c r="L170" s="133"/>
      <c r="M170" s="121"/>
      <c r="N170" s="133"/>
      <c r="O170" s="152">
        <f>C170*D170+E170*F170+G170*H170+I170*J170+K170*L170*0.25+M170*N170*0.25</f>
        <v>0</v>
      </c>
    </row>
    <row r="171" spans="2:15" x14ac:dyDescent="0.2">
      <c r="B171" s="144" t="s">
        <v>18</v>
      </c>
      <c r="C171" s="129"/>
      <c r="D171" s="133"/>
      <c r="E171" s="121"/>
      <c r="F171" s="133"/>
      <c r="G171" s="121"/>
      <c r="H171" s="133"/>
      <c r="I171" s="121"/>
      <c r="J171" s="133"/>
      <c r="K171" s="121"/>
      <c r="L171" s="133"/>
      <c r="M171" s="121"/>
      <c r="N171" s="133"/>
      <c r="O171" s="152">
        <f>C171*D171+E171*F171+G171*H171+I171*J171+K171*L171*0.25+M171*N171*0.25</f>
        <v>0</v>
      </c>
    </row>
    <row r="172" spans="2:15" x14ac:dyDescent="0.2">
      <c r="B172" s="144" t="s">
        <v>19</v>
      </c>
      <c r="C172" s="129"/>
      <c r="D172" s="133"/>
      <c r="E172" s="121"/>
      <c r="F172" s="133"/>
      <c r="G172" s="121"/>
      <c r="H172" s="133"/>
      <c r="I172" s="121"/>
      <c r="J172" s="133"/>
      <c r="K172" s="121"/>
      <c r="L172" s="133"/>
      <c r="M172" s="121"/>
      <c r="N172" s="133"/>
      <c r="O172" s="152">
        <f>C172*D172+E172*F172+G172*H172+I172*J172+K172*L172*0.25+M172*N172*0.25</f>
        <v>0</v>
      </c>
    </row>
    <row r="173" spans="2:15" x14ac:dyDescent="0.2">
      <c r="B173" s="144" t="s">
        <v>20</v>
      </c>
      <c r="C173" s="129"/>
      <c r="D173" s="133"/>
      <c r="E173" s="121"/>
      <c r="F173" s="133"/>
      <c r="G173" s="121"/>
      <c r="H173" s="133"/>
      <c r="I173" s="121"/>
      <c r="J173" s="133"/>
      <c r="K173" s="121"/>
      <c r="L173" s="133"/>
      <c r="M173" s="121"/>
      <c r="N173" s="133"/>
      <c r="O173" s="152">
        <f>C173*D173+E173*F173+G173*H173+I173*J173+K173*L173*0.25+M173*N173*0.25</f>
        <v>0</v>
      </c>
    </row>
    <row r="174" spans="2:15" x14ac:dyDescent="0.2">
      <c r="B174" s="144" t="s">
        <v>21</v>
      </c>
      <c r="C174" s="129"/>
      <c r="D174" s="133"/>
      <c r="E174" s="121"/>
      <c r="F174" s="133"/>
      <c r="G174" s="121"/>
      <c r="H174" s="133"/>
      <c r="I174" s="121"/>
      <c r="J174" s="133"/>
      <c r="K174" s="121"/>
      <c r="L174" s="133"/>
      <c r="M174" s="121"/>
      <c r="N174" s="133"/>
      <c r="O174" s="152">
        <f>C174*D174+E174*F174+G174*H174+I174*J174+K174*L174*0.25+M174*N174*0.25</f>
        <v>0</v>
      </c>
    </row>
    <row r="175" spans="2:15" x14ac:dyDescent="0.2">
      <c r="B175" s="145" t="s">
        <v>4</v>
      </c>
      <c r="C175" s="130">
        <f>SUMPRODUCT(C170:C174,D170:D174)</f>
        <v>0</v>
      </c>
      <c r="D175" s="134"/>
      <c r="E175" s="122">
        <f>SUMPRODUCT(E170:E174,F170:F174)</f>
        <v>0</v>
      </c>
      <c r="F175" s="134"/>
      <c r="G175" s="122">
        <f>SUMPRODUCT(G170:G174,H170:H174)</f>
        <v>0</v>
      </c>
      <c r="H175" s="134"/>
      <c r="I175" s="122">
        <f>SUMPRODUCT(I170:I174,J170:J174)</f>
        <v>0</v>
      </c>
      <c r="J175" s="134"/>
      <c r="K175" s="122">
        <f>SUMPRODUCT(K170:K174,L170:L174)*0.25</f>
        <v>0</v>
      </c>
      <c r="L175" s="134"/>
      <c r="M175" s="122">
        <f>SUMPRODUCT(M170:M174,N170:N174)*0.25</f>
        <v>0</v>
      </c>
      <c r="N175" s="134"/>
      <c r="O175" s="153">
        <f>SUM(O170:O174)</f>
        <v>0</v>
      </c>
    </row>
    <row r="176" spans="2:15" ht="17" thickBot="1" x14ac:dyDescent="0.25">
      <c r="B176" s="146" t="s">
        <v>6</v>
      </c>
      <c r="C176" s="147"/>
      <c r="D176" s="148"/>
      <c r="E176" s="149"/>
      <c r="F176" s="148"/>
      <c r="G176" s="149"/>
      <c r="H176" s="148"/>
      <c r="I176" s="149"/>
      <c r="J176" s="148"/>
      <c r="K176" s="149"/>
      <c r="L176" s="148"/>
      <c r="M176" s="149"/>
      <c r="N176" s="148"/>
      <c r="O176" s="154"/>
    </row>
    <row r="177" spans="2:15" ht="17" thickBot="1" x14ac:dyDescent="0.25"/>
    <row r="178" spans="2:15" ht="18" customHeight="1" x14ac:dyDescent="0.2">
      <c r="B178" s="255" t="s">
        <v>151</v>
      </c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7"/>
    </row>
    <row r="179" spans="2:15" ht="26" customHeight="1" x14ac:dyDescent="0.2">
      <c r="B179" s="258" t="s">
        <v>5</v>
      </c>
      <c r="C179" s="243" t="s">
        <v>133</v>
      </c>
      <c r="D179" s="244"/>
      <c r="E179" s="245" t="s">
        <v>134</v>
      </c>
      <c r="F179" s="244"/>
      <c r="G179" s="245" t="s">
        <v>135</v>
      </c>
      <c r="H179" s="244"/>
      <c r="I179" s="245" t="s">
        <v>136</v>
      </c>
      <c r="J179" s="244"/>
      <c r="K179" s="259"/>
      <c r="L179" s="260"/>
      <c r="M179" s="260"/>
      <c r="N179" s="260"/>
      <c r="O179" s="261" t="s">
        <v>14</v>
      </c>
    </row>
    <row r="180" spans="2:15" x14ac:dyDescent="0.2">
      <c r="B180" s="155">
        <v>46262</v>
      </c>
      <c r="C180" s="247" t="s">
        <v>137</v>
      </c>
      <c r="D180" s="248"/>
      <c r="E180" s="249" t="s">
        <v>138</v>
      </c>
      <c r="F180" s="248"/>
      <c r="G180" s="249" t="s">
        <v>138</v>
      </c>
      <c r="H180" s="248"/>
      <c r="I180" s="249" t="s">
        <v>139</v>
      </c>
      <c r="J180" s="248"/>
      <c r="K180" s="262"/>
      <c r="L180" s="263"/>
      <c r="M180" s="263"/>
      <c r="N180" s="263"/>
      <c r="O180" s="160"/>
    </row>
    <row r="181" spans="2:15" x14ac:dyDescent="0.2">
      <c r="B181" s="156"/>
      <c r="C181" s="123" t="s">
        <v>0</v>
      </c>
      <c r="D181" s="132" t="s">
        <v>120</v>
      </c>
      <c r="E181" s="120" t="s">
        <v>0</v>
      </c>
      <c r="F181" s="132" t="s">
        <v>120</v>
      </c>
      <c r="G181" s="120" t="s">
        <v>0</v>
      </c>
      <c r="H181" s="132" t="s">
        <v>120</v>
      </c>
      <c r="I181" s="120" t="s">
        <v>0</v>
      </c>
      <c r="J181" s="132" t="s">
        <v>120</v>
      </c>
      <c r="K181" s="264"/>
      <c r="L181" s="265"/>
      <c r="M181" s="265"/>
      <c r="N181" s="265"/>
      <c r="O181" s="161"/>
    </row>
    <row r="182" spans="2:15" x14ac:dyDescent="0.2">
      <c r="B182" s="157" t="s">
        <v>17</v>
      </c>
      <c r="C182" s="129"/>
      <c r="D182" s="133"/>
      <c r="E182" s="121"/>
      <c r="F182" s="133"/>
      <c r="G182" s="121"/>
      <c r="H182" s="133"/>
      <c r="I182" s="121"/>
      <c r="J182" s="133"/>
      <c r="K182" s="266"/>
      <c r="L182" s="267"/>
      <c r="M182" s="267"/>
      <c r="N182" s="267"/>
      <c r="O182" s="162">
        <f>C182*D182+E182*F182+G182*H182+I182*J182</f>
        <v>0</v>
      </c>
    </row>
    <row r="183" spans="2:15" x14ac:dyDescent="0.2">
      <c r="B183" s="157" t="s">
        <v>18</v>
      </c>
      <c r="C183" s="129"/>
      <c r="D183" s="133"/>
      <c r="E183" s="121"/>
      <c r="F183" s="133"/>
      <c r="G183" s="121"/>
      <c r="H183" s="133"/>
      <c r="I183" s="121"/>
      <c r="J183" s="133"/>
      <c r="K183" s="266"/>
      <c r="L183" s="267"/>
      <c r="M183" s="267"/>
      <c r="N183" s="267"/>
      <c r="O183" s="162">
        <f>C183*D183+E183*F183+G183*H183+I183*J183</f>
        <v>0</v>
      </c>
    </row>
    <row r="184" spans="2:15" x14ac:dyDescent="0.2">
      <c r="B184" s="157" t="s">
        <v>19</v>
      </c>
      <c r="C184" s="129"/>
      <c r="D184" s="133"/>
      <c r="E184" s="121"/>
      <c r="F184" s="133"/>
      <c r="G184" s="121"/>
      <c r="H184" s="133"/>
      <c r="I184" s="121"/>
      <c r="J184" s="133"/>
      <c r="K184" s="266"/>
      <c r="L184" s="267"/>
      <c r="M184" s="267"/>
      <c r="N184" s="267"/>
      <c r="O184" s="162">
        <f>C184*D184+E184*F184+G184*H184+I184*J184</f>
        <v>0</v>
      </c>
    </row>
    <row r="185" spans="2:15" x14ac:dyDescent="0.2">
      <c r="B185" s="157" t="s">
        <v>20</v>
      </c>
      <c r="C185" s="129"/>
      <c r="D185" s="133"/>
      <c r="E185" s="121"/>
      <c r="F185" s="133"/>
      <c r="G185" s="121"/>
      <c r="H185" s="133"/>
      <c r="I185" s="121"/>
      <c r="J185" s="133"/>
      <c r="K185" s="266"/>
      <c r="L185" s="267"/>
      <c r="M185" s="267"/>
      <c r="N185" s="267"/>
      <c r="O185" s="162">
        <f>C185*D185+E185*F185+G185*H185+I185*J185</f>
        <v>0</v>
      </c>
    </row>
    <row r="186" spans="2:15" x14ac:dyDescent="0.2">
      <c r="B186" s="157" t="s">
        <v>21</v>
      </c>
      <c r="C186" s="129"/>
      <c r="D186" s="133"/>
      <c r="E186" s="121"/>
      <c r="F186" s="133"/>
      <c r="G186" s="121"/>
      <c r="H186" s="133"/>
      <c r="I186" s="121"/>
      <c r="J186" s="133"/>
      <c r="K186" s="266"/>
      <c r="L186" s="267"/>
      <c r="M186" s="267"/>
      <c r="N186" s="267"/>
      <c r="O186" s="162">
        <f>C186*D186+E186*F186+G186*H186+I186*J186</f>
        <v>0</v>
      </c>
    </row>
    <row r="187" spans="2:15" x14ac:dyDescent="0.2">
      <c r="B187" s="158" t="s">
        <v>4</v>
      </c>
      <c r="C187" s="130">
        <f>SUMPRODUCT(C182:C186,D182:D186)</f>
        <v>0</v>
      </c>
      <c r="D187" s="134"/>
      <c r="E187" s="122">
        <f>SUMPRODUCT(E182:E186,F182:F186)</f>
        <v>0</v>
      </c>
      <c r="F187" s="134"/>
      <c r="G187" s="122">
        <f>SUMPRODUCT(G182:G186,H182:H186)</f>
        <v>0</v>
      </c>
      <c r="H187" s="134"/>
      <c r="I187" s="122">
        <f>SUMPRODUCT(I182:I186,J182:J186)</f>
        <v>0</v>
      </c>
      <c r="J187" s="134"/>
      <c r="K187" s="268"/>
      <c r="L187" s="269"/>
      <c r="M187" s="269"/>
      <c r="N187" s="269"/>
      <c r="O187" s="163">
        <f>SUM(O182:O186)</f>
        <v>0</v>
      </c>
    </row>
    <row r="188" spans="2:15" ht="17" thickBot="1" x14ac:dyDescent="0.25">
      <c r="B188" s="159" t="s">
        <v>6</v>
      </c>
      <c r="C188" s="165"/>
      <c r="D188" s="166"/>
      <c r="E188" s="167"/>
      <c r="F188" s="166"/>
      <c r="G188" s="167"/>
      <c r="H188" s="166"/>
      <c r="I188" s="167"/>
      <c r="J188" s="166"/>
      <c r="K188" s="270"/>
      <c r="L188" s="271"/>
      <c r="M188" s="271"/>
      <c r="N188" s="271"/>
      <c r="O188" s="164"/>
    </row>
    <row r="189" spans="2:15" ht="17" thickBot="1" x14ac:dyDescent="0.25"/>
    <row r="190" spans="2:15" ht="18" customHeight="1" x14ac:dyDescent="0.2">
      <c r="B190" s="215" t="s">
        <v>152</v>
      </c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7"/>
    </row>
    <row r="191" spans="2:15" ht="26" customHeight="1" x14ac:dyDescent="0.2">
      <c r="B191" s="242" t="s">
        <v>5</v>
      </c>
      <c r="C191" s="243" t="s">
        <v>109</v>
      </c>
      <c r="D191" s="244"/>
      <c r="E191" s="245" t="s">
        <v>110</v>
      </c>
      <c r="F191" s="244"/>
      <c r="G191" s="245" t="s">
        <v>48</v>
      </c>
      <c r="H191" s="244"/>
      <c r="I191" s="245" t="s">
        <v>111</v>
      </c>
      <c r="J191" s="244"/>
      <c r="K191" s="245" t="s">
        <v>112</v>
      </c>
      <c r="L191" s="244"/>
      <c r="M191" s="245" t="s">
        <v>113</v>
      </c>
      <c r="N191" s="244"/>
      <c r="O191" s="246" t="s">
        <v>14</v>
      </c>
    </row>
    <row r="192" spans="2:15" x14ac:dyDescent="0.2">
      <c r="B192" s="124">
        <v>46265</v>
      </c>
      <c r="C192" s="247" t="s">
        <v>114</v>
      </c>
      <c r="D192" s="248"/>
      <c r="E192" s="249" t="s">
        <v>115</v>
      </c>
      <c r="F192" s="248"/>
      <c r="G192" s="249" t="s">
        <v>116</v>
      </c>
      <c r="H192" s="248"/>
      <c r="I192" s="249" t="s">
        <v>117</v>
      </c>
      <c r="J192" s="248"/>
      <c r="K192" s="249" t="s">
        <v>118</v>
      </c>
      <c r="L192" s="248"/>
      <c r="M192" s="249" t="s">
        <v>119</v>
      </c>
      <c r="N192" s="248"/>
      <c r="O192" s="137"/>
    </row>
    <row r="193" spans="2:15" x14ac:dyDescent="0.2">
      <c r="B193" s="125"/>
      <c r="C193" s="123" t="s">
        <v>0</v>
      </c>
      <c r="D193" s="132" t="s">
        <v>120</v>
      </c>
      <c r="E193" s="120" t="s">
        <v>0</v>
      </c>
      <c r="F193" s="132" t="s">
        <v>120</v>
      </c>
      <c r="G193" s="120" t="s">
        <v>0</v>
      </c>
      <c r="H193" s="132" t="s">
        <v>120</v>
      </c>
      <c r="I193" s="120" t="s">
        <v>0</v>
      </c>
      <c r="J193" s="132" t="s">
        <v>120</v>
      </c>
      <c r="K193" s="120" t="s">
        <v>0</v>
      </c>
      <c r="L193" s="132" t="s">
        <v>120</v>
      </c>
      <c r="M193" s="120" t="s">
        <v>0</v>
      </c>
      <c r="N193" s="132" t="s">
        <v>120</v>
      </c>
      <c r="O193" s="138"/>
    </row>
    <row r="194" spans="2:15" x14ac:dyDescent="0.2">
      <c r="B194" s="126" t="s">
        <v>17</v>
      </c>
      <c r="C194" s="129"/>
      <c r="D194" s="133"/>
      <c r="E194" s="121"/>
      <c r="F194" s="133"/>
      <c r="G194" s="121"/>
      <c r="H194" s="133"/>
      <c r="I194" s="121"/>
      <c r="J194" s="133"/>
      <c r="K194" s="121"/>
      <c r="L194" s="133"/>
      <c r="M194" s="121"/>
      <c r="N194" s="133"/>
      <c r="O194" s="139">
        <f>C194*D194+E194*F194+G194*H194+I194*J194+K194*L194*0.25+M194*N194*0.25</f>
        <v>0</v>
      </c>
    </row>
    <row r="195" spans="2:15" x14ac:dyDescent="0.2">
      <c r="B195" s="126" t="s">
        <v>18</v>
      </c>
      <c r="C195" s="129"/>
      <c r="D195" s="133"/>
      <c r="E195" s="121"/>
      <c r="F195" s="133"/>
      <c r="G195" s="121"/>
      <c r="H195" s="133"/>
      <c r="I195" s="121"/>
      <c r="J195" s="133"/>
      <c r="K195" s="121"/>
      <c r="L195" s="133"/>
      <c r="M195" s="121"/>
      <c r="N195" s="133"/>
      <c r="O195" s="139">
        <f>C195*D195+E195*F195+G195*H195+I195*J195+K195*L195*0.25+M195*N195*0.25</f>
        <v>0</v>
      </c>
    </row>
    <row r="196" spans="2:15" x14ac:dyDescent="0.2">
      <c r="B196" s="126" t="s">
        <v>19</v>
      </c>
      <c r="C196" s="129"/>
      <c r="D196" s="133"/>
      <c r="E196" s="121"/>
      <c r="F196" s="133"/>
      <c r="G196" s="121"/>
      <c r="H196" s="133"/>
      <c r="I196" s="121"/>
      <c r="J196" s="133"/>
      <c r="K196" s="121"/>
      <c r="L196" s="133"/>
      <c r="M196" s="121"/>
      <c r="N196" s="133"/>
      <c r="O196" s="139">
        <f>C196*D196+E196*F196+G196*H196+I196*J196+K196*L196*0.25+M196*N196*0.25</f>
        <v>0</v>
      </c>
    </row>
    <row r="197" spans="2:15" x14ac:dyDescent="0.2">
      <c r="B197" s="126" t="s">
        <v>20</v>
      </c>
      <c r="C197" s="129"/>
      <c r="D197" s="133"/>
      <c r="E197" s="121"/>
      <c r="F197" s="133"/>
      <c r="G197" s="121"/>
      <c r="H197" s="133"/>
      <c r="I197" s="121"/>
      <c r="J197" s="133"/>
      <c r="K197" s="121"/>
      <c r="L197" s="133"/>
      <c r="M197" s="121"/>
      <c r="N197" s="133"/>
      <c r="O197" s="139">
        <f>C197*D197+E197*F197+G197*H197+I197*J197+K197*L197*0.25+M197*N197*0.25</f>
        <v>0</v>
      </c>
    </row>
    <row r="198" spans="2:15" x14ac:dyDescent="0.2">
      <c r="B198" s="126" t="s">
        <v>21</v>
      </c>
      <c r="C198" s="129"/>
      <c r="D198" s="133"/>
      <c r="E198" s="121"/>
      <c r="F198" s="133"/>
      <c r="G198" s="121"/>
      <c r="H198" s="133"/>
      <c r="I198" s="121"/>
      <c r="J198" s="133"/>
      <c r="K198" s="121"/>
      <c r="L198" s="133"/>
      <c r="M198" s="121"/>
      <c r="N198" s="133"/>
      <c r="O198" s="139">
        <f>C198*D198+E198*F198+G198*H198+I198*J198+K198*L198*0.25+M198*N198*0.25</f>
        <v>0</v>
      </c>
    </row>
    <row r="199" spans="2:15" x14ac:dyDescent="0.2">
      <c r="B199" s="127" t="s">
        <v>4</v>
      </c>
      <c r="C199" s="130">
        <f>SUMPRODUCT(C194:C198,D194:D198)</f>
        <v>0</v>
      </c>
      <c r="D199" s="134"/>
      <c r="E199" s="122">
        <f>SUMPRODUCT(E194:E198,F194:F198)</f>
        <v>0</v>
      </c>
      <c r="F199" s="134"/>
      <c r="G199" s="122">
        <f>SUMPRODUCT(G194:G198,H194:H198)</f>
        <v>0</v>
      </c>
      <c r="H199" s="134"/>
      <c r="I199" s="122">
        <f>SUMPRODUCT(I194:I198,J194:J198)</f>
        <v>0</v>
      </c>
      <c r="J199" s="134"/>
      <c r="K199" s="122">
        <f>SUMPRODUCT(K194:K198,L194:L198)*0.25</f>
        <v>0</v>
      </c>
      <c r="L199" s="134"/>
      <c r="M199" s="122">
        <f>SUMPRODUCT(M194:M198,N194:N198)*0.25</f>
        <v>0</v>
      </c>
      <c r="N199" s="134"/>
      <c r="O199" s="140">
        <f>SUM(O194:O198)</f>
        <v>0</v>
      </c>
    </row>
    <row r="200" spans="2:15" ht="17" thickBot="1" x14ac:dyDescent="0.25">
      <c r="B200" s="128" t="s">
        <v>6</v>
      </c>
      <c r="C200" s="131"/>
      <c r="D200" s="135"/>
      <c r="E200" s="136"/>
      <c r="F200" s="135"/>
      <c r="G200" s="136"/>
      <c r="H200" s="135"/>
      <c r="I200" s="136"/>
      <c r="J200" s="135"/>
      <c r="K200" s="136"/>
      <c r="L200" s="135"/>
      <c r="M200" s="136"/>
      <c r="N200" s="135"/>
      <c r="O200" s="141"/>
    </row>
    <row r="201" spans="2:15" ht="17" thickBot="1" x14ac:dyDescent="0.25"/>
    <row r="202" spans="2:15" ht="18" customHeight="1" x14ac:dyDescent="0.2">
      <c r="B202" s="250" t="s">
        <v>153</v>
      </c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2"/>
    </row>
    <row r="203" spans="2:15" ht="26" customHeight="1" x14ac:dyDescent="0.2">
      <c r="B203" s="253" t="s">
        <v>5</v>
      </c>
      <c r="C203" s="243" t="s">
        <v>2</v>
      </c>
      <c r="D203" s="244"/>
      <c r="E203" s="245" t="s">
        <v>122</v>
      </c>
      <c r="F203" s="244"/>
      <c r="G203" s="245" t="s">
        <v>123</v>
      </c>
      <c r="H203" s="244"/>
      <c r="I203" s="245" t="s">
        <v>124</v>
      </c>
      <c r="J203" s="244"/>
      <c r="K203" s="245" t="s">
        <v>125</v>
      </c>
      <c r="L203" s="244"/>
      <c r="M203" s="245" t="s">
        <v>126</v>
      </c>
      <c r="N203" s="244"/>
      <c r="O203" s="254" t="s">
        <v>14</v>
      </c>
    </row>
    <row r="204" spans="2:15" x14ac:dyDescent="0.2">
      <c r="B204" s="142">
        <v>46267</v>
      </c>
      <c r="C204" s="247" t="s">
        <v>127</v>
      </c>
      <c r="D204" s="248"/>
      <c r="E204" s="249" t="s">
        <v>128</v>
      </c>
      <c r="F204" s="248"/>
      <c r="G204" s="249" t="s">
        <v>117</v>
      </c>
      <c r="H204" s="248"/>
      <c r="I204" s="249" t="s">
        <v>129</v>
      </c>
      <c r="J204" s="248"/>
      <c r="K204" s="249" t="s">
        <v>130</v>
      </c>
      <c r="L204" s="248"/>
      <c r="M204" s="249" t="s">
        <v>131</v>
      </c>
      <c r="N204" s="248"/>
      <c r="O204" s="150"/>
    </row>
    <row r="205" spans="2:15" x14ac:dyDescent="0.2">
      <c r="B205" s="143"/>
      <c r="C205" s="123" t="s">
        <v>0</v>
      </c>
      <c r="D205" s="132" t="s">
        <v>120</v>
      </c>
      <c r="E205" s="120" t="s">
        <v>0</v>
      </c>
      <c r="F205" s="132" t="s">
        <v>120</v>
      </c>
      <c r="G205" s="120" t="s">
        <v>0</v>
      </c>
      <c r="H205" s="132" t="s">
        <v>120</v>
      </c>
      <c r="I205" s="120" t="s">
        <v>0</v>
      </c>
      <c r="J205" s="132" t="s">
        <v>120</v>
      </c>
      <c r="K205" s="120" t="s">
        <v>0</v>
      </c>
      <c r="L205" s="132" t="s">
        <v>120</v>
      </c>
      <c r="M205" s="120" t="s">
        <v>0</v>
      </c>
      <c r="N205" s="132" t="s">
        <v>120</v>
      </c>
      <c r="O205" s="151"/>
    </row>
    <row r="206" spans="2:15" x14ac:dyDescent="0.2">
      <c r="B206" s="144" t="s">
        <v>17</v>
      </c>
      <c r="C206" s="129"/>
      <c r="D206" s="133"/>
      <c r="E206" s="121"/>
      <c r="F206" s="133"/>
      <c r="G206" s="121"/>
      <c r="H206" s="133"/>
      <c r="I206" s="121"/>
      <c r="J206" s="133"/>
      <c r="K206" s="121"/>
      <c r="L206" s="133"/>
      <c r="M206" s="121"/>
      <c r="N206" s="133"/>
      <c r="O206" s="152">
        <f>C206*D206+E206*F206+G206*H206+I206*J206+K206*L206*0.25+M206*N206*0.25</f>
        <v>0</v>
      </c>
    </row>
    <row r="207" spans="2:15" x14ac:dyDescent="0.2">
      <c r="B207" s="144" t="s">
        <v>18</v>
      </c>
      <c r="C207" s="129"/>
      <c r="D207" s="133"/>
      <c r="E207" s="121"/>
      <c r="F207" s="133"/>
      <c r="G207" s="121"/>
      <c r="H207" s="133"/>
      <c r="I207" s="121"/>
      <c r="J207" s="133"/>
      <c r="K207" s="121"/>
      <c r="L207" s="133"/>
      <c r="M207" s="121"/>
      <c r="N207" s="133"/>
      <c r="O207" s="152">
        <f>C207*D207+E207*F207+G207*H207+I207*J207+K207*L207*0.25+M207*N207*0.25</f>
        <v>0</v>
      </c>
    </row>
    <row r="208" spans="2:15" x14ac:dyDescent="0.2">
      <c r="B208" s="144" t="s">
        <v>19</v>
      </c>
      <c r="C208" s="129"/>
      <c r="D208" s="133"/>
      <c r="E208" s="121"/>
      <c r="F208" s="133"/>
      <c r="G208" s="121"/>
      <c r="H208" s="133"/>
      <c r="I208" s="121"/>
      <c r="J208" s="133"/>
      <c r="K208" s="121"/>
      <c r="L208" s="133"/>
      <c r="M208" s="121"/>
      <c r="N208" s="133"/>
      <c r="O208" s="152">
        <f>C208*D208+E208*F208+G208*H208+I208*J208+K208*L208*0.25+M208*N208*0.25</f>
        <v>0</v>
      </c>
    </row>
    <row r="209" spans="2:15" x14ac:dyDescent="0.2">
      <c r="B209" s="144" t="s">
        <v>20</v>
      </c>
      <c r="C209" s="129"/>
      <c r="D209" s="133"/>
      <c r="E209" s="121"/>
      <c r="F209" s="133"/>
      <c r="G209" s="121"/>
      <c r="H209" s="133"/>
      <c r="I209" s="121"/>
      <c r="J209" s="133"/>
      <c r="K209" s="121"/>
      <c r="L209" s="133"/>
      <c r="M209" s="121"/>
      <c r="N209" s="133"/>
      <c r="O209" s="152">
        <f>C209*D209+E209*F209+G209*H209+I209*J209+K209*L209*0.25+M209*N209*0.25</f>
        <v>0</v>
      </c>
    </row>
    <row r="210" spans="2:15" x14ac:dyDescent="0.2">
      <c r="B210" s="144" t="s">
        <v>21</v>
      </c>
      <c r="C210" s="129"/>
      <c r="D210" s="133"/>
      <c r="E210" s="121"/>
      <c r="F210" s="133"/>
      <c r="G210" s="121"/>
      <c r="H210" s="133"/>
      <c r="I210" s="121"/>
      <c r="J210" s="133"/>
      <c r="K210" s="121"/>
      <c r="L210" s="133"/>
      <c r="M210" s="121"/>
      <c r="N210" s="133"/>
      <c r="O210" s="152">
        <f>C210*D210+E210*F210+G210*H210+I210*J210+K210*L210*0.25+M210*N210*0.25</f>
        <v>0</v>
      </c>
    </row>
    <row r="211" spans="2:15" x14ac:dyDescent="0.2">
      <c r="B211" s="145" t="s">
        <v>4</v>
      </c>
      <c r="C211" s="130">
        <f>SUMPRODUCT(C206:C210,D206:D210)</f>
        <v>0</v>
      </c>
      <c r="D211" s="134"/>
      <c r="E211" s="122">
        <f>SUMPRODUCT(E206:E210,F206:F210)</f>
        <v>0</v>
      </c>
      <c r="F211" s="134"/>
      <c r="G211" s="122">
        <f>SUMPRODUCT(G206:G210,H206:H210)</f>
        <v>0</v>
      </c>
      <c r="H211" s="134"/>
      <c r="I211" s="122">
        <f>SUMPRODUCT(I206:I210,J206:J210)</f>
        <v>0</v>
      </c>
      <c r="J211" s="134"/>
      <c r="K211" s="122">
        <f>SUMPRODUCT(K206:K210,L206:L210)*0.25</f>
        <v>0</v>
      </c>
      <c r="L211" s="134"/>
      <c r="M211" s="122">
        <f>SUMPRODUCT(M206:M210,N206:N210)*0.25</f>
        <v>0</v>
      </c>
      <c r="N211" s="134"/>
      <c r="O211" s="153">
        <f>SUM(O206:O210)</f>
        <v>0</v>
      </c>
    </row>
    <row r="212" spans="2:15" ht="17" thickBot="1" x14ac:dyDescent="0.25">
      <c r="B212" s="146" t="s">
        <v>6</v>
      </c>
      <c r="C212" s="147"/>
      <c r="D212" s="148"/>
      <c r="E212" s="149"/>
      <c r="F212" s="148"/>
      <c r="G212" s="149"/>
      <c r="H212" s="148"/>
      <c r="I212" s="149"/>
      <c r="J212" s="148"/>
      <c r="K212" s="149"/>
      <c r="L212" s="148"/>
      <c r="M212" s="149"/>
      <c r="N212" s="148"/>
      <c r="O212" s="154"/>
    </row>
    <row r="213" spans="2:15" ht="17" thickBot="1" x14ac:dyDescent="0.25"/>
    <row r="214" spans="2:15" ht="18" customHeight="1" x14ac:dyDescent="0.2">
      <c r="B214" s="255" t="s">
        <v>154</v>
      </c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7"/>
    </row>
    <row r="215" spans="2:15" ht="26" customHeight="1" x14ac:dyDescent="0.2">
      <c r="B215" s="258" t="s">
        <v>5</v>
      </c>
      <c r="C215" s="243" t="s">
        <v>133</v>
      </c>
      <c r="D215" s="244"/>
      <c r="E215" s="245" t="s">
        <v>134</v>
      </c>
      <c r="F215" s="244"/>
      <c r="G215" s="245" t="s">
        <v>135</v>
      </c>
      <c r="H215" s="244"/>
      <c r="I215" s="245" t="s">
        <v>136</v>
      </c>
      <c r="J215" s="244"/>
      <c r="K215" s="259"/>
      <c r="L215" s="260"/>
      <c r="M215" s="260"/>
      <c r="N215" s="260"/>
      <c r="O215" s="261" t="s">
        <v>14</v>
      </c>
    </row>
    <row r="216" spans="2:15" x14ac:dyDescent="0.2">
      <c r="B216" s="155">
        <v>46269</v>
      </c>
      <c r="C216" s="247" t="s">
        <v>137</v>
      </c>
      <c r="D216" s="248"/>
      <c r="E216" s="249" t="s">
        <v>138</v>
      </c>
      <c r="F216" s="248"/>
      <c r="G216" s="249" t="s">
        <v>138</v>
      </c>
      <c r="H216" s="248"/>
      <c r="I216" s="249" t="s">
        <v>139</v>
      </c>
      <c r="J216" s="248"/>
      <c r="K216" s="262"/>
      <c r="L216" s="263"/>
      <c r="M216" s="263"/>
      <c r="N216" s="263"/>
      <c r="O216" s="160"/>
    </row>
    <row r="217" spans="2:15" x14ac:dyDescent="0.2">
      <c r="B217" s="156"/>
      <c r="C217" s="123" t="s">
        <v>0</v>
      </c>
      <c r="D217" s="132" t="s">
        <v>120</v>
      </c>
      <c r="E217" s="120" t="s">
        <v>0</v>
      </c>
      <c r="F217" s="132" t="s">
        <v>120</v>
      </c>
      <c r="G217" s="120" t="s">
        <v>0</v>
      </c>
      <c r="H217" s="132" t="s">
        <v>120</v>
      </c>
      <c r="I217" s="120" t="s">
        <v>0</v>
      </c>
      <c r="J217" s="132" t="s">
        <v>120</v>
      </c>
      <c r="K217" s="264"/>
      <c r="L217" s="265"/>
      <c r="M217" s="265"/>
      <c r="N217" s="265"/>
      <c r="O217" s="161"/>
    </row>
    <row r="218" spans="2:15" x14ac:dyDescent="0.2">
      <c r="B218" s="157" t="s">
        <v>17</v>
      </c>
      <c r="C218" s="129"/>
      <c r="D218" s="133"/>
      <c r="E218" s="121"/>
      <c r="F218" s="133"/>
      <c r="G218" s="121"/>
      <c r="H218" s="133"/>
      <c r="I218" s="121"/>
      <c r="J218" s="133"/>
      <c r="K218" s="266"/>
      <c r="L218" s="267"/>
      <c r="M218" s="267"/>
      <c r="N218" s="267"/>
      <c r="O218" s="162">
        <f>C218*D218+E218*F218+G218*H218+I218*J218</f>
        <v>0</v>
      </c>
    </row>
    <row r="219" spans="2:15" x14ac:dyDescent="0.2">
      <c r="B219" s="157" t="s">
        <v>18</v>
      </c>
      <c r="C219" s="129"/>
      <c r="D219" s="133"/>
      <c r="E219" s="121"/>
      <c r="F219" s="133"/>
      <c r="G219" s="121"/>
      <c r="H219" s="133"/>
      <c r="I219" s="121"/>
      <c r="J219" s="133"/>
      <c r="K219" s="266"/>
      <c r="L219" s="267"/>
      <c r="M219" s="267"/>
      <c r="N219" s="267"/>
      <c r="O219" s="162">
        <f>C219*D219+E219*F219+G219*H219+I219*J219</f>
        <v>0</v>
      </c>
    </row>
    <row r="220" spans="2:15" x14ac:dyDescent="0.2">
      <c r="B220" s="157" t="s">
        <v>19</v>
      </c>
      <c r="C220" s="129"/>
      <c r="D220" s="133"/>
      <c r="E220" s="121"/>
      <c r="F220" s="133"/>
      <c r="G220" s="121"/>
      <c r="H220" s="133"/>
      <c r="I220" s="121"/>
      <c r="J220" s="133"/>
      <c r="K220" s="266"/>
      <c r="L220" s="267"/>
      <c r="M220" s="267"/>
      <c r="N220" s="267"/>
      <c r="O220" s="162">
        <f>C220*D220+E220*F220+G220*H220+I220*J220</f>
        <v>0</v>
      </c>
    </row>
    <row r="221" spans="2:15" x14ac:dyDescent="0.2">
      <c r="B221" s="157" t="s">
        <v>20</v>
      </c>
      <c r="C221" s="129"/>
      <c r="D221" s="133"/>
      <c r="E221" s="121"/>
      <c r="F221" s="133"/>
      <c r="G221" s="121"/>
      <c r="H221" s="133"/>
      <c r="I221" s="121"/>
      <c r="J221" s="133"/>
      <c r="K221" s="266"/>
      <c r="L221" s="267"/>
      <c r="M221" s="267"/>
      <c r="N221" s="267"/>
      <c r="O221" s="162">
        <f>C221*D221+E221*F221+G221*H221+I221*J221</f>
        <v>0</v>
      </c>
    </row>
    <row r="222" spans="2:15" x14ac:dyDescent="0.2">
      <c r="B222" s="157" t="s">
        <v>21</v>
      </c>
      <c r="C222" s="129"/>
      <c r="D222" s="133"/>
      <c r="E222" s="121"/>
      <c r="F222" s="133"/>
      <c r="G222" s="121"/>
      <c r="H222" s="133"/>
      <c r="I222" s="121"/>
      <c r="J222" s="133"/>
      <c r="K222" s="266"/>
      <c r="L222" s="267"/>
      <c r="M222" s="267"/>
      <c r="N222" s="267"/>
      <c r="O222" s="162">
        <f>C222*D222+E222*F222+G222*H222+I222*J222</f>
        <v>0</v>
      </c>
    </row>
    <row r="223" spans="2:15" x14ac:dyDescent="0.2">
      <c r="B223" s="158" t="s">
        <v>4</v>
      </c>
      <c r="C223" s="130">
        <f>SUMPRODUCT(C218:C222,D218:D222)</f>
        <v>0</v>
      </c>
      <c r="D223" s="134"/>
      <c r="E223" s="122">
        <f>SUMPRODUCT(E218:E222,F218:F222)</f>
        <v>0</v>
      </c>
      <c r="F223" s="134"/>
      <c r="G223" s="122">
        <f>SUMPRODUCT(G218:G222,H218:H222)</f>
        <v>0</v>
      </c>
      <c r="H223" s="134"/>
      <c r="I223" s="122">
        <f>SUMPRODUCT(I218:I222,J218:J222)</f>
        <v>0</v>
      </c>
      <c r="J223" s="134"/>
      <c r="K223" s="268"/>
      <c r="L223" s="269"/>
      <c r="M223" s="269"/>
      <c r="N223" s="269"/>
      <c r="O223" s="163">
        <f>SUM(O218:O222)</f>
        <v>0</v>
      </c>
    </row>
    <row r="224" spans="2:15" ht="17" thickBot="1" x14ac:dyDescent="0.25">
      <c r="B224" s="159" t="s">
        <v>6</v>
      </c>
      <c r="C224" s="165"/>
      <c r="D224" s="166"/>
      <c r="E224" s="167"/>
      <c r="F224" s="166"/>
      <c r="G224" s="167"/>
      <c r="H224" s="166"/>
      <c r="I224" s="167"/>
      <c r="J224" s="166"/>
      <c r="K224" s="270"/>
      <c r="L224" s="271"/>
      <c r="M224" s="271"/>
      <c r="N224" s="271"/>
      <c r="O224" s="164"/>
    </row>
    <row r="225" spans="2:15" ht="17" thickBot="1" x14ac:dyDescent="0.25"/>
    <row r="226" spans="2:15" ht="18" customHeight="1" x14ac:dyDescent="0.2">
      <c r="B226" s="215" t="s">
        <v>155</v>
      </c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7"/>
    </row>
    <row r="227" spans="2:15" ht="26" customHeight="1" x14ac:dyDescent="0.2">
      <c r="B227" s="242" t="s">
        <v>5</v>
      </c>
      <c r="C227" s="243" t="s">
        <v>109</v>
      </c>
      <c r="D227" s="244"/>
      <c r="E227" s="245" t="s">
        <v>110</v>
      </c>
      <c r="F227" s="244"/>
      <c r="G227" s="245" t="s">
        <v>48</v>
      </c>
      <c r="H227" s="244"/>
      <c r="I227" s="245" t="s">
        <v>111</v>
      </c>
      <c r="J227" s="244"/>
      <c r="K227" s="245" t="s">
        <v>112</v>
      </c>
      <c r="L227" s="244"/>
      <c r="M227" s="245" t="s">
        <v>113</v>
      </c>
      <c r="N227" s="244"/>
      <c r="O227" s="246" t="s">
        <v>14</v>
      </c>
    </row>
    <row r="228" spans="2:15" x14ac:dyDescent="0.2">
      <c r="B228" s="124">
        <v>46272</v>
      </c>
      <c r="C228" s="247" t="s">
        <v>114</v>
      </c>
      <c r="D228" s="248"/>
      <c r="E228" s="249" t="s">
        <v>115</v>
      </c>
      <c r="F228" s="248"/>
      <c r="G228" s="249" t="s">
        <v>116</v>
      </c>
      <c r="H228" s="248"/>
      <c r="I228" s="249" t="s">
        <v>117</v>
      </c>
      <c r="J228" s="248"/>
      <c r="K228" s="249" t="s">
        <v>118</v>
      </c>
      <c r="L228" s="248"/>
      <c r="M228" s="249" t="s">
        <v>119</v>
      </c>
      <c r="N228" s="248"/>
      <c r="O228" s="137"/>
    </row>
    <row r="229" spans="2:15" x14ac:dyDescent="0.2">
      <c r="B229" s="125"/>
      <c r="C229" s="123" t="s">
        <v>0</v>
      </c>
      <c r="D229" s="132" t="s">
        <v>120</v>
      </c>
      <c r="E229" s="120" t="s">
        <v>0</v>
      </c>
      <c r="F229" s="132" t="s">
        <v>120</v>
      </c>
      <c r="G229" s="120" t="s">
        <v>0</v>
      </c>
      <c r="H229" s="132" t="s">
        <v>120</v>
      </c>
      <c r="I229" s="120" t="s">
        <v>0</v>
      </c>
      <c r="J229" s="132" t="s">
        <v>120</v>
      </c>
      <c r="K229" s="120" t="s">
        <v>0</v>
      </c>
      <c r="L229" s="132" t="s">
        <v>120</v>
      </c>
      <c r="M229" s="120" t="s">
        <v>0</v>
      </c>
      <c r="N229" s="132" t="s">
        <v>120</v>
      </c>
      <c r="O229" s="138"/>
    </row>
    <row r="230" spans="2:15" x14ac:dyDescent="0.2">
      <c r="B230" s="126" t="s">
        <v>17</v>
      </c>
      <c r="C230" s="129"/>
      <c r="D230" s="133"/>
      <c r="E230" s="121"/>
      <c r="F230" s="133"/>
      <c r="G230" s="121"/>
      <c r="H230" s="133"/>
      <c r="I230" s="121"/>
      <c r="J230" s="133"/>
      <c r="K230" s="121"/>
      <c r="L230" s="133"/>
      <c r="M230" s="121"/>
      <c r="N230" s="133"/>
      <c r="O230" s="139">
        <f>C230*D230+E230*F230+G230*H230+I230*J230+K230*L230*0.25+M230*N230*0.25</f>
        <v>0</v>
      </c>
    </row>
    <row r="231" spans="2:15" x14ac:dyDescent="0.2">
      <c r="B231" s="126" t="s">
        <v>18</v>
      </c>
      <c r="C231" s="129"/>
      <c r="D231" s="133"/>
      <c r="E231" s="121"/>
      <c r="F231" s="133"/>
      <c r="G231" s="121"/>
      <c r="H231" s="133"/>
      <c r="I231" s="121"/>
      <c r="J231" s="133"/>
      <c r="K231" s="121"/>
      <c r="L231" s="133"/>
      <c r="M231" s="121"/>
      <c r="N231" s="133"/>
      <c r="O231" s="139">
        <f>C231*D231+E231*F231+G231*H231+I231*J231+K231*L231*0.25+M231*N231*0.25</f>
        <v>0</v>
      </c>
    </row>
    <row r="232" spans="2:15" x14ac:dyDescent="0.2">
      <c r="B232" s="126" t="s">
        <v>19</v>
      </c>
      <c r="C232" s="129"/>
      <c r="D232" s="133"/>
      <c r="E232" s="121"/>
      <c r="F232" s="133"/>
      <c r="G232" s="121"/>
      <c r="H232" s="133"/>
      <c r="I232" s="121"/>
      <c r="J232" s="133"/>
      <c r="K232" s="121"/>
      <c r="L232" s="133"/>
      <c r="M232" s="121"/>
      <c r="N232" s="133"/>
      <c r="O232" s="139">
        <f>C232*D232+E232*F232+G232*H232+I232*J232+K232*L232*0.25+M232*N232*0.25</f>
        <v>0</v>
      </c>
    </row>
    <row r="233" spans="2:15" x14ac:dyDescent="0.2">
      <c r="B233" s="126" t="s">
        <v>20</v>
      </c>
      <c r="C233" s="129"/>
      <c r="D233" s="133"/>
      <c r="E233" s="121"/>
      <c r="F233" s="133"/>
      <c r="G233" s="121"/>
      <c r="H233" s="133"/>
      <c r="I233" s="121"/>
      <c r="J233" s="133"/>
      <c r="K233" s="121"/>
      <c r="L233" s="133"/>
      <c r="M233" s="121"/>
      <c r="N233" s="133"/>
      <c r="O233" s="139">
        <f>C233*D233+E233*F233+G233*H233+I233*J233+K233*L233*0.25+M233*N233*0.25</f>
        <v>0</v>
      </c>
    </row>
    <row r="234" spans="2:15" x14ac:dyDescent="0.2">
      <c r="B234" s="126" t="s">
        <v>21</v>
      </c>
      <c r="C234" s="129"/>
      <c r="D234" s="133"/>
      <c r="E234" s="121"/>
      <c r="F234" s="133"/>
      <c r="G234" s="121"/>
      <c r="H234" s="133"/>
      <c r="I234" s="121"/>
      <c r="J234" s="133"/>
      <c r="K234" s="121"/>
      <c r="L234" s="133"/>
      <c r="M234" s="121"/>
      <c r="N234" s="133"/>
      <c r="O234" s="139">
        <f>C234*D234+E234*F234+G234*H234+I234*J234+K234*L234*0.25+M234*N234*0.25</f>
        <v>0</v>
      </c>
    </row>
    <row r="235" spans="2:15" x14ac:dyDescent="0.2">
      <c r="B235" s="127" t="s">
        <v>4</v>
      </c>
      <c r="C235" s="130">
        <f>SUMPRODUCT(C230:C234,D230:D234)</f>
        <v>0</v>
      </c>
      <c r="D235" s="134"/>
      <c r="E235" s="122">
        <f>SUMPRODUCT(E230:E234,F230:F234)</f>
        <v>0</v>
      </c>
      <c r="F235" s="134"/>
      <c r="G235" s="122">
        <f>SUMPRODUCT(G230:G234,H230:H234)</f>
        <v>0</v>
      </c>
      <c r="H235" s="134"/>
      <c r="I235" s="122">
        <f>SUMPRODUCT(I230:I234,J230:J234)</f>
        <v>0</v>
      </c>
      <c r="J235" s="134"/>
      <c r="K235" s="122">
        <f>SUMPRODUCT(K230:K234,L230:L234)*0.25</f>
        <v>0</v>
      </c>
      <c r="L235" s="134"/>
      <c r="M235" s="122">
        <f>SUMPRODUCT(M230:M234,N230:N234)*0.25</f>
        <v>0</v>
      </c>
      <c r="N235" s="134"/>
      <c r="O235" s="140">
        <f>SUM(O230:O234)</f>
        <v>0</v>
      </c>
    </row>
    <row r="236" spans="2:15" ht="17" thickBot="1" x14ac:dyDescent="0.25">
      <c r="B236" s="128" t="s">
        <v>6</v>
      </c>
      <c r="C236" s="131"/>
      <c r="D236" s="135"/>
      <c r="E236" s="136"/>
      <c r="F236" s="135"/>
      <c r="G236" s="136"/>
      <c r="H236" s="135"/>
      <c r="I236" s="136"/>
      <c r="J236" s="135"/>
      <c r="K236" s="136"/>
      <c r="L236" s="135"/>
      <c r="M236" s="136"/>
      <c r="N236" s="135"/>
      <c r="O236" s="141"/>
    </row>
    <row r="237" spans="2:15" ht="17" thickBot="1" x14ac:dyDescent="0.25"/>
    <row r="238" spans="2:15" ht="18" customHeight="1" x14ac:dyDescent="0.2">
      <c r="B238" s="250" t="s">
        <v>156</v>
      </c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2"/>
    </row>
    <row r="239" spans="2:15" ht="26" customHeight="1" x14ac:dyDescent="0.2">
      <c r="B239" s="253" t="s">
        <v>5</v>
      </c>
      <c r="C239" s="243" t="s">
        <v>2</v>
      </c>
      <c r="D239" s="244"/>
      <c r="E239" s="245" t="s">
        <v>122</v>
      </c>
      <c r="F239" s="244"/>
      <c r="G239" s="245" t="s">
        <v>123</v>
      </c>
      <c r="H239" s="244"/>
      <c r="I239" s="245" t="s">
        <v>124</v>
      </c>
      <c r="J239" s="244"/>
      <c r="K239" s="245" t="s">
        <v>125</v>
      </c>
      <c r="L239" s="244"/>
      <c r="M239" s="245" t="s">
        <v>126</v>
      </c>
      <c r="N239" s="244"/>
      <c r="O239" s="254" t="s">
        <v>14</v>
      </c>
    </row>
    <row r="240" spans="2:15" x14ac:dyDescent="0.2">
      <c r="B240" s="142">
        <v>46274</v>
      </c>
      <c r="C240" s="247" t="s">
        <v>127</v>
      </c>
      <c r="D240" s="248"/>
      <c r="E240" s="249" t="s">
        <v>128</v>
      </c>
      <c r="F240" s="248"/>
      <c r="G240" s="249" t="s">
        <v>117</v>
      </c>
      <c r="H240" s="248"/>
      <c r="I240" s="249" t="s">
        <v>129</v>
      </c>
      <c r="J240" s="248"/>
      <c r="K240" s="249" t="s">
        <v>130</v>
      </c>
      <c r="L240" s="248"/>
      <c r="M240" s="249" t="s">
        <v>131</v>
      </c>
      <c r="N240" s="248"/>
      <c r="O240" s="150"/>
    </row>
    <row r="241" spans="2:15" x14ac:dyDescent="0.2">
      <c r="B241" s="143"/>
      <c r="C241" s="123" t="s">
        <v>0</v>
      </c>
      <c r="D241" s="132" t="s">
        <v>120</v>
      </c>
      <c r="E241" s="120" t="s">
        <v>0</v>
      </c>
      <c r="F241" s="132" t="s">
        <v>120</v>
      </c>
      <c r="G241" s="120" t="s">
        <v>0</v>
      </c>
      <c r="H241" s="132" t="s">
        <v>120</v>
      </c>
      <c r="I241" s="120" t="s">
        <v>0</v>
      </c>
      <c r="J241" s="132" t="s">
        <v>120</v>
      </c>
      <c r="K241" s="120" t="s">
        <v>0</v>
      </c>
      <c r="L241" s="132" t="s">
        <v>120</v>
      </c>
      <c r="M241" s="120" t="s">
        <v>0</v>
      </c>
      <c r="N241" s="132" t="s">
        <v>120</v>
      </c>
      <c r="O241" s="151"/>
    </row>
    <row r="242" spans="2:15" x14ac:dyDescent="0.2">
      <c r="B242" s="144" t="s">
        <v>17</v>
      </c>
      <c r="C242" s="129"/>
      <c r="D242" s="133"/>
      <c r="E242" s="121"/>
      <c r="F242" s="133"/>
      <c r="G242" s="121"/>
      <c r="H242" s="133"/>
      <c r="I242" s="121"/>
      <c r="J242" s="133"/>
      <c r="K242" s="121"/>
      <c r="L242" s="133"/>
      <c r="M242" s="121"/>
      <c r="N242" s="133"/>
      <c r="O242" s="152">
        <f>C242*D242+E242*F242+G242*H242+I242*J242+K242*L242*0.25+M242*N242*0.25</f>
        <v>0</v>
      </c>
    </row>
    <row r="243" spans="2:15" x14ac:dyDescent="0.2">
      <c r="B243" s="144" t="s">
        <v>18</v>
      </c>
      <c r="C243" s="129"/>
      <c r="D243" s="133"/>
      <c r="E243" s="121"/>
      <c r="F243" s="133"/>
      <c r="G243" s="121"/>
      <c r="H243" s="133"/>
      <c r="I243" s="121"/>
      <c r="J243" s="133"/>
      <c r="K243" s="121"/>
      <c r="L243" s="133"/>
      <c r="M243" s="121"/>
      <c r="N243" s="133"/>
      <c r="O243" s="152">
        <f>C243*D243+E243*F243+G243*H243+I243*J243+K243*L243*0.25+M243*N243*0.25</f>
        <v>0</v>
      </c>
    </row>
    <row r="244" spans="2:15" x14ac:dyDescent="0.2">
      <c r="B244" s="144" t="s">
        <v>19</v>
      </c>
      <c r="C244" s="129"/>
      <c r="D244" s="133"/>
      <c r="E244" s="121"/>
      <c r="F244" s="133"/>
      <c r="G244" s="121"/>
      <c r="H244" s="133"/>
      <c r="I244" s="121"/>
      <c r="J244" s="133"/>
      <c r="K244" s="121"/>
      <c r="L244" s="133"/>
      <c r="M244" s="121"/>
      <c r="N244" s="133"/>
      <c r="O244" s="152">
        <f>C244*D244+E244*F244+G244*H244+I244*J244+K244*L244*0.25+M244*N244*0.25</f>
        <v>0</v>
      </c>
    </row>
    <row r="245" spans="2:15" x14ac:dyDescent="0.2">
      <c r="B245" s="144" t="s">
        <v>20</v>
      </c>
      <c r="C245" s="129"/>
      <c r="D245" s="133"/>
      <c r="E245" s="121"/>
      <c r="F245" s="133"/>
      <c r="G245" s="121"/>
      <c r="H245" s="133"/>
      <c r="I245" s="121"/>
      <c r="J245" s="133"/>
      <c r="K245" s="121"/>
      <c r="L245" s="133"/>
      <c r="M245" s="121"/>
      <c r="N245" s="133"/>
      <c r="O245" s="152">
        <f>C245*D245+E245*F245+G245*H245+I245*J245+K245*L245*0.25+M245*N245*0.25</f>
        <v>0</v>
      </c>
    </row>
    <row r="246" spans="2:15" x14ac:dyDescent="0.2">
      <c r="B246" s="144" t="s">
        <v>21</v>
      </c>
      <c r="C246" s="129"/>
      <c r="D246" s="133"/>
      <c r="E246" s="121"/>
      <c r="F246" s="133"/>
      <c r="G246" s="121"/>
      <c r="H246" s="133"/>
      <c r="I246" s="121"/>
      <c r="J246" s="133"/>
      <c r="K246" s="121"/>
      <c r="L246" s="133"/>
      <c r="M246" s="121"/>
      <c r="N246" s="133"/>
      <c r="O246" s="152">
        <f>C246*D246+E246*F246+G246*H246+I246*J246+K246*L246*0.25+M246*N246*0.25</f>
        <v>0</v>
      </c>
    </row>
    <row r="247" spans="2:15" x14ac:dyDescent="0.2">
      <c r="B247" s="145" t="s">
        <v>4</v>
      </c>
      <c r="C247" s="130">
        <f>SUMPRODUCT(C242:C246,D242:D246)</f>
        <v>0</v>
      </c>
      <c r="D247" s="134"/>
      <c r="E247" s="122">
        <f>SUMPRODUCT(E242:E246,F242:F246)</f>
        <v>0</v>
      </c>
      <c r="F247" s="134"/>
      <c r="G247" s="122">
        <f>SUMPRODUCT(G242:G246,H242:H246)</f>
        <v>0</v>
      </c>
      <c r="H247" s="134"/>
      <c r="I247" s="122">
        <f>SUMPRODUCT(I242:I246,J242:J246)</f>
        <v>0</v>
      </c>
      <c r="J247" s="134"/>
      <c r="K247" s="122">
        <f>SUMPRODUCT(K242:K246,L242:L246)*0.25</f>
        <v>0</v>
      </c>
      <c r="L247" s="134"/>
      <c r="M247" s="122">
        <f>SUMPRODUCT(M242:M246,N242:N246)*0.25</f>
        <v>0</v>
      </c>
      <c r="N247" s="134"/>
      <c r="O247" s="153">
        <f>SUM(O242:O246)</f>
        <v>0</v>
      </c>
    </row>
    <row r="248" spans="2:15" ht="17" thickBot="1" x14ac:dyDescent="0.25">
      <c r="B248" s="146" t="s">
        <v>6</v>
      </c>
      <c r="C248" s="147"/>
      <c r="D248" s="148"/>
      <c r="E248" s="149"/>
      <c r="F248" s="148"/>
      <c r="G248" s="149"/>
      <c r="H248" s="148"/>
      <c r="I248" s="149"/>
      <c r="J248" s="148"/>
      <c r="K248" s="149"/>
      <c r="L248" s="148"/>
      <c r="M248" s="149"/>
      <c r="N248" s="148"/>
      <c r="O248" s="154"/>
    </row>
    <row r="249" spans="2:15" ht="17" thickBot="1" x14ac:dyDescent="0.25"/>
    <row r="250" spans="2:15" ht="18" customHeight="1" x14ac:dyDescent="0.2">
      <c r="B250" s="255" t="s">
        <v>157</v>
      </c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7"/>
    </row>
    <row r="251" spans="2:15" ht="26" customHeight="1" x14ac:dyDescent="0.2">
      <c r="B251" s="258" t="s">
        <v>5</v>
      </c>
      <c r="C251" s="243" t="s">
        <v>133</v>
      </c>
      <c r="D251" s="244"/>
      <c r="E251" s="245" t="s">
        <v>134</v>
      </c>
      <c r="F251" s="244"/>
      <c r="G251" s="245" t="s">
        <v>135</v>
      </c>
      <c r="H251" s="244"/>
      <c r="I251" s="245" t="s">
        <v>136</v>
      </c>
      <c r="J251" s="244"/>
      <c r="K251" s="259"/>
      <c r="L251" s="260"/>
      <c r="M251" s="260"/>
      <c r="N251" s="260"/>
      <c r="O251" s="261" t="s">
        <v>14</v>
      </c>
    </row>
    <row r="252" spans="2:15" x14ac:dyDescent="0.2">
      <c r="B252" s="155">
        <v>46276</v>
      </c>
      <c r="C252" s="247" t="s">
        <v>137</v>
      </c>
      <c r="D252" s="248"/>
      <c r="E252" s="249" t="s">
        <v>138</v>
      </c>
      <c r="F252" s="248"/>
      <c r="G252" s="249" t="s">
        <v>138</v>
      </c>
      <c r="H252" s="248"/>
      <c r="I252" s="249" t="s">
        <v>139</v>
      </c>
      <c r="J252" s="248"/>
      <c r="K252" s="262"/>
      <c r="L252" s="263"/>
      <c r="M252" s="263"/>
      <c r="N252" s="263"/>
      <c r="O252" s="160"/>
    </row>
    <row r="253" spans="2:15" x14ac:dyDescent="0.2">
      <c r="B253" s="156"/>
      <c r="C253" s="123" t="s">
        <v>0</v>
      </c>
      <c r="D253" s="132" t="s">
        <v>120</v>
      </c>
      <c r="E253" s="120" t="s">
        <v>0</v>
      </c>
      <c r="F253" s="132" t="s">
        <v>120</v>
      </c>
      <c r="G253" s="120" t="s">
        <v>0</v>
      </c>
      <c r="H253" s="132" t="s">
        <v>120</v>
      </c>
      <c r="I253" s="120" t="s">
        <v>0</v>
      </c>
      <c r="J253" s="132" t="s">
        <v>120</v>
      </c>
      <c r="K253" s="264"/>
      <c r="L253" s="265"/>
      <c r="M253" s="265"/>
      <c r="N253" s="265"/>
      <c r="O253" s="161"/>
    </row>
    <row r="254" spans="2:15" x14ac:dyDescent="0.2">
      <c r="B254" s="157" t="s">
        <v>17</v>
      </c>
      <c r="C254" s="129"/>
      <c r="D254" s="133"/>
      <c r="E254" s="121"/>
      <c r="F254" s="133"/>
      <c r="G254" s="121"/>
      <c r="H254" s="133"/>
      <c r="I254" s="121"/>
      <c r="J254" s="133"/>
      <c r="K254" s="266"/>
      <c r="L254" s="267"/>
      <c r="M254" s="267"/>
      <c r="N254" s="267"/>
      <c r="O254" s="162">
        <f>C254*D254+E254*F254+G254*H254+I254*J254</f>
        <v>0</v>
      </c>
    </row>
    <row r="255" spans="2:15" x14ac:dyDescent="0.2">
      <c r="B255" s="157" t="s">
        <v>18</v>
      </c>
      <c r="C255" s="129"/>
      <c r="D255" s="133"/>
      <c r="E255" s="121"/>
      <c r="F255" s="133"/>
      <c r="G255" s="121"/>
      <c r="H255" s="133"/>
      <c r="I255" s="121"/>
      <c r="J255" s="133"/>
      <c r="K255" s="266"/>
      <c r="L255" s="267"/>
      <c r="M255" s="267"/>
      <c r="N255" s="267"/>
      <c r="O255" s="162">
        <f>C255*D255+E255*F255+G255*H255+I255*J255</f>
        <v>0</v>
      </c>
    </row>
    <row r="256" spans="2:15" x14ac:dyDescent="0.2">
      <c r="B256" s="157" t="s">
        <v>19</v>
      </c>
      <c r="C256" s="129"/>
      <c r="D256" s="133"/>
      <c r="E256" s="121"/>
      <c r="F256" s="133"/>
      <c r="G256" s="121"/>
      <c r="H256" s="133"/>
      <c r="I256" s="121"/>
      <c r="J256" s="133"/>
      <c r="K256" s="266"/>
      <c r="L256" s="267"/>
      <c r="M256" s="267"/>
      <c r="N256" s="267"/>
      <c r="O256" s="162">
        <f>C256*D256+E256*F256+G256*H256+I256*J256</f>
        <v>0</v>
      </c>
    </row>
    <row r="257" spans="2:15" x14ac:dyDescent="0.2">
      <c r="B257" s="157" t="s">
        <v>20</v>
      </c>
      <c r="C257" s="129"/>
      <c r="D257" s="133"/>
      <c r="E257" s="121"/>
      <c r="F257" s="133"/>
      <c r="G257" s="121"/>
      <c r="H257" s="133"/>
      <c r="I257" s="121"/>
      <c r="J257" s="133"/>
      <c r="K257" s="266"/>
      <c r="L257" s="267"/>
      <c r="M257" s="267"/>
      <c r="N257" s="267"/>
      <c r="O257" s="162">
        <f>C257*D257+E257*F257+G257*H257+I257*J257</f>
        <v>0</v>
      </c>
    </row>
    <row r="258" spans="2:15" x14ac:dyDescent="0.2">
      <c r="B258" s="157" t="s">
        <v>21</v>
      </c>
      <c r="C258" s="129"/>
      <c r="D258" s="133"/>
      <c r="E258" s="121"/>
      <c r="F258" s="133"/>
      <c r="G258" s="121"/>
      <c r="H258" s="133"/>
      <c r="I258" s="121"/>
      <c r="J258" s="133"/>
      <c r="K258" s="266"/>
      <c r="L258" s="267"/>
      <c r="M258" s="267"/>
      <c r="N258" s="267"/>
      <c r="O258" s="162">
        <f>C258*D258+E258*F258+G258*H258+I258*J258</f>
        <v>0</v>
      </c>
    </row>
    <row r="259" spans="2:15" x14ac:dyDescent="0.2">
      <c r="B259" s="158" t="s">
        <v>4</v>
      </c>
      <c r="C259" s="130">
        <f>SUMPRODUCT(C254:C258,D254:D258)</f>
        <v>0</v>
      </c>
      <c r="D259" s="134"/>
      <c r="E259" s="122">
        <f>SUMPRODUCT(E254:E258,F254:F258)</f>
        <v>0</v>
      </c>
      <c r="F259" s="134"/>
      <c r="G259" s="122">
        <f>SUMPRODUCT(G254:G258,H254:H258)</f>
        <v>0</v>
      </c>
      <c r="H259" s="134"/>
      <c r="I259" s="122">
        <f>SUMPRODUCT(I254:I258,J254:J258)</f>
        <v>0</v>
      </c>
      <c r="J259" s="134"/>
      <c r="K259" s="268"/>
      <c r="L259" s="269"/>
      <c r="M259" s="269"/>
      <c r="N259" s="269"/>
      <c r="O259" s="163">
        <f>SUM(O254:O258)</f>
        <v>0</v>
      </c>
    </row>
    <row r="260" spans="2:15" ht="17" thickBot="1" x14ac:dyDescent="0.25">
      <c r="B260" s="159" t="s">
        <v>6</v>
      </c>
      <c r="C260" s="165"/>
      <c r="D260" s="166"/>
      <c r="E260" s="167"/>
      <c r="F260" s="166"/>
      <c r="G260" s="167"/>
      <c r="H260" s="166"/>
      <c r="I260" s="167"/>
      <c r="J260" s="166"/>
      <c r="K260" s="270"/>
      <c r="L260" s="271"/>
      <c r="M260" s="271"/>
      <c r="N260" s="271"/>
      <c r="O260" s="164"/>
    </row>
    <row r="261" spans="2:15" ht="17" thickBot="1" x14ac:dyDescent="0.25"/>
    <row r="262" spans="2:15" ht="18" customHeight="1" x14ac:dyDescent="0.2">
      <c r="B262" s="215" t="s">
        <v>158</v>
      </c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7"/>
    </row>
    <row r="263" spans="2:15" ht="26" customHeight="1" x14ac:dyDescent="0.2">
      <c r="B263" s="242" t="s">
        <v>5</v>
      </c>
      <c r="C263" s="243" t="s">
        <v>109</v>
      </c>
      <c r="D263" s="244"/>
      <c r="E263" s="245" t="s">
        <v>110</v>
      </c>
      <c r="F263" s="244"/>
      <c r="G263" s="245" t="s">
        <v>48</v>
      </c>
      <c r="H263" s="244"/>
      <c r="I263" s="245" t="s">
        <v>111</v>
      </c>
      <c r="J263" s="244"/>
      <c r="K263" s="245" t="s">
        <v>112</v>
      </c>
      <c r="L263" s="244"/>
      <c r="M263" s="245" t="s">
        <v>113</v>
      </c>
      <c r="N263" s="244"/>
      <c r="O263" s="246" t="s">
        <v>14</v>
      </c>
    </row>
    <row r="264" spans="2:15" x14ac:dyDescent="0.2">
      <c r="B264" s="124">
        <v>46279</v>
      </c>
      <c r="C264" s="247" t="s">
        <v>114</v>
      </c>
      <c r="D264" s="248"/>
      <c r="E264" s="249" t="s">
        <v>115</v>
      </c>
      <c r="F264" s="248"/>
      <c r="G264" s="249" t="s">
        <v>116</v>
      </c>
      <c r="H264" s="248"/>
      <c r="I264" s="249" t="s">
        <v>117</v>
      </c>
      <c r="J264" s="248"/>
      <c r="K264" s="249" t="s">
        <v>118</v>
      </c>
      <c r="L264" s="248"/>
      <c r="M264" s="249" t="s">
        <v>119</v>
      </c>
      <c r="N264" s="248"/>
      <c r="O264" s="137"/>
    </row>
    <row r="265" spans="2:15" x14ac:dyDescent="0.2">
      <c r="B265" s="125"/>
      <c r="C265" s="123" t="s">
        <v>0</v>
      </c>
      <c r="D265" s="132" t="s">
        <v>120</v>
      </c>
      <c r="E265" s="120" t="s">
        <v>0</v>
      </c>
      <c r="F265" s="132" t="s">
        <v>120</v>
      </c>
      <c r="G265" s="120" t="s">
        <v>0</v>
      </c>
      <c r="H265" s="132" t="s">
        <v>120</v>
      </c>
      <c r="I265" s="120" t="s">
        <v>0</v>
      </c>
      <c r="J265" s="132" t="s">
        <v>120</v>
      </c>
      <c r="K265" s="120" t="s">
        <v>0</v>
      </c>
      <c r="L265" s="132" t="s">
        <v>120</v>
      </c>
      <c r="M265" s="120" t="s">
        <v>0</v>
      </c>
      <c r="N265" s="132" t="s">
        <v>120</v>
      </c>
      <c r="O265" s="138"/>
    </row>
    <row r="266" spans="2:15" x14ac:dyDescent="0.2">
      <c r="B266" s="126" t="s">
        <v>17</v>
      </c>
      <c r="C266" s="129"/>
      <c r="D266" s="133"/>
      <c r="E266" s="121"/>
      <c r="F266" s="133"/>
      <c r="G266" s="121"/>
      <c r="H266" s="133"/>
      <c r="I266" s="121"/>
      <c r="J266" s="133"/>
      <c r="K266" s="121"/>
      <c r="L266" s="133"/>
      <c r="M266" s="121"/>
      <c r="N266" s="133"/>
      <c r="O266" s="139">
        <f>C266*D266+E266*F266+G266*H266+I266*J266+K266*L266*0.25+M266*N266*0.25</f>
        <v>0</v>
      </c>
    </row>
    <row r="267" spans="2:15" x14ac:dyDescent="0.2">
      <c r="B267" s="126" t="s">
        <v>18</v>
      </c>
      <c r="C267" s="129"/>
      <c r="D267" s="133"/>
      <c r="E267" s="121"/>
      <c r="F267" s="133"/>
      <c r="G267" s="121"/>
      <c r="H267" s="133"/>
      <c r="I267" s="121"/>
      <c r="J267" s="133"/>
      <c r="K267" s="121"/>
      <c r="L267" s="133"/>
      <c r="M267" s="121"/>
      <c r="N267" s="133"/>
      <c r="O267" s="139">
        <f>C267*D267+E267*F267+G267*H267+I267*J267+K267*L267*0.25+M267*N267*0.25</f>
        <v>0</v>
      </c>
    </row>
    <row r="268" spans="2:15" x14ac:dyDescent="0.2">
      <c r="B268" s="126" t="s">
        <v>19</v>
      </c>
      <c r="C268" s="129"/>
      <c r="D268" s="133"/>
      <c r="E268" s="121"/>
      <c r="F268" s="133"/>
      <c r="G268" s="121"/>
      <c r="H268" s="133"/>
      <c r="I268" s="121"/>
      <c r="J268" s="133"/>
      <c r="K268" s="121"/>
      <c r="L268" s="133"/>
      <c r="M268" s="121"/>
      <c r="N268" s="133"/>
      <c r="O268" s="139">
        <f>C268*D268+E268*F268+G268*H268+I268*J268+K268*L268*0.25+M268*N268*0.25</f>
        <v>0</v>
      </c>
    </row>
    <row r="269" spans="2:15" x14ac:dyDescent="0.2">
      <c r="B269" s="126" t="s">
        <v>20</v>
      </c>
      <c r="C269" s="129"/>
      <c r="D269" s="133"/>
      <c r="E269" s="121"/>
      <c r="F269" s="133"/>
      <c r="G269" s="121"/>
      <c r="H269" s="133"/>
      <c r="I269" s="121"/>
      <c r="J269" s="133"/>
      <c r="K269" s="121"/>
      <c r="L269" s="133"/>
      <c r="M269" s="121"/>
      <c r="N269" s="133"/>
      <c r="O269" s="139">
        <f>C269*D269+E269*F269+G269*H269+I269*J269+K269*L269*0.25+M269*N269*0.25</f>
        <v>0</v>
      </c>
    </row>
    <row r="270" spans="2:15" x14ac:dyDescent="0.2">
      <c r="B270" s="126" t="s">
        <v>21</v>
      </c>
      <c r="C270" s="129"/>
      <c r="D270" s="133"/>
      <c r="E270" s="121"/>
      <c r="F270" s="133"/>
      <c r="G270" s="121"/>
      <c r="H270" s="133"/>
      <c r="I270" s="121"/>
      <c r="J270" s="133"/>
      <c r="K270" s="121"/>
      <c r="L270" s="133"/>
      <c r="M270" s="121"/>
      <c r="N270" s="133"/>
      <c r="O270" s="139">
        <f>C270*D270+E270*F270+G270*H270+I270*J270+K270*L270*0.25+M270*N270*0.25</f>
        <v>0</v>
      </c>
    </row>
    <row r="271" spans="2:15" x14ac:dyDescent="0.2">
      <c r="B271" s="127" t="s">
        <v>4</v>
      </c>
      <c r="C271" s="130">
        <f>SUMPRODUCT(C266:C270,D266:D270)</f>
        <v>0</v>
      </c>
      <c r="D271" s="134"/>
      <c r="E271" s="122">
        <f>SUMPRODUCT(E266:E270,F266:F270)</f>
        <v>0</v>
      </c>
      <c r="F271" s="134"/>
      <c r="G271" s="122">
        <f>SUMPRODUCT(G266:G270,H266:H270)</f>
        <v>0</v>
      </c>
      <c r="H271" s="134"/>
      <c r="I271" s="122">
        <f>SUMPRODUCT(I266:I270,J266:J270)</f>
        <v>0</v>
      </c>
      <c r="J271" s="134"/>
      <c r="K271" s="122">
        <f>SUMPRODUCT(K266:K270,L266:L270)*0.25</f>
        <v>0</v>
      </c>
      <c r="L271" s="134"/>
      <c r="M271" s="122">
        <f>SUMPRODUCT(M266:M270,N266:N270)*0.25</f>
        <v>0</v>
      </c>
      <c r="N271" s="134"/>
      <c r="O271" s="140">
        <f>SUM(O266:O270)</f>
        <v>0</v>
      </c>
    </row>
    <row r="272" spans="2:15" ht="17" thickBot="1" x14ac:dyDescent="0.25">
      <c r="B272" s="128" t="s">
        <v>6</v>
      </c>
      <c r="C272" s="131"/>
      <c r="D272" s="135"/>
      <c r="E272" s="136"/>
      <c r="F272" s="135"/>
      <c r="G272" s="136"/>
      <c r="H272" s="135"/>
      <c r="I272" s="136"/>
      <c r="J272" s="135"/>
      <c r="K272" s="136"/>
      <c r="L272" s="135"/>
      <c r="M272" s="136"/>
      <c r="N272" s="135"/>
      <c r="O272" s="141"/>
    </row>
    <row r="273" spans="2:15" ht="17" thickBot="1" x14ac:dyDescent="0.25"/>
    <row r="274" spans="2:15" ht="18" customHeight="1" x14ac:dyDescent="0.2">
      <c r="B274" s="250" t="s">
        <v>159</v>
      </c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2"/>
    </row>
    <row r="275" spans="2:15" ht="26" customHeight="1" x14ac:dyDescent="0.2">
      <c r="B275" s="253" t="s">
        <v>5</v>
      </c>
      <c r="C275" s="243" t="s">
        <v>2</v>
      </c>
      <c r="D275" s="244"/>
      <c r="E275" s="245" t="s">
        <v>122</v>
      </c>
      <c r="F275" s="244"/>
      <c r="G275" s="245" t="s">
        <v>123</v>
      </c>
      <c r="H275" s="244"/>
      <c r="I275" s="245" t="s">
        <v>124</v>
      </c>
      <c r="J275" s="244"/>
      <c r="K275" s="245" t="s">
        <v>125</v>
      </c>
      <c r="L275" s="244"/>
      <c r="M275" s="245" t="s">
        <v>126</v>
      </c>
      <c r="N275" s="244"/>
      <c r="O275" s="254" t="s">
        <v>14</v>
      </c>
    </row>
    <row r="276" spans="2:15" x14ac:dyDescent="0.2">
      <c r="B276" s="142">
        <v>46281</v>
      </c>
      <c r="C276" s="247" t="s">
        <v>127</v>
      </c>
      <c r="D276" s="248"/>
      <c r="E276" s="249" t="s">
        <v>128</v>
      </c>
      <c r="F276" s="248"/>
      <c r="G276" s="249" t="s">
        <v>117</v>
      </c>
      <c r="H276" s="248"/>
      <c r="I276" s="249" t="s">
        <v>129</v>
      </c>
      <c r="J276" s="248"/>
      <c r="K276" s="249" t="s">
        <v>130</v>
      </c>
      <c r="L276" s="248"/>
      <c r="M276" s="249" t="s">
        <v>131</v>
      </c>
      <c r="N276" s="248"/>
      <c r="O276" s="150"/>
    </row>
    <row r="277" spans="2:15" x14ac:dyDescent="0.2">
      <c r="B277" s="143"/>
      <c r="C277" s="123" t="s">
        <v>0</v>
      </c>
      <c r="D277" s="132" t="s">
        <v>120</v>
      </c>
      <c r="E277" s="120" t="s">
        <v>0</v>
      </c>
      <c r="F277" s="132" t="s">
        <v>120</v>
      </c>
      <c r="G277" s="120" t="s">
        <v>0</v>
      </c>
      <c r="H277" s="132" t="s">
        <v>120</v>
      </c>
      <c r="I277" s="120" t="s">
        <v>0</v>
      </c>
      <c r="J277" s="132" t="s">
        <v>120</v>
      </c>
      <c r="K277" s="120" t="s">
        <v>0</v>
      </c>
      <c r="L277" s="132" t="s">
        <v>120</v>
      </c>
      <c r="M277" s="120" t="s">
        <v>0</v>
      </c>
      <c r="N277" s="132" t="s">
        <v>120</v>
      </c>
      <c r="O277" s="151"/>
    </row>
    <row r="278" spans="2:15" x14ac:dyDescent="0.2">
      <c r="B278" s="144" t="s">
        <v>17</v>
      </c>
      <c r="C278" s="129"/>
      <c r="D278" s="133"/>
      <c r="E278" s="121"/>
      <c r="F278" s="133"/>
      <c r="G278" s="121"/>
      <c r="H278" s="133"/>
      <c r="I278" s="121"/>
      <c r="J278" s="133"/>
      <c r="K278" s="121"/>
      <c r="L278" s="133"/>
      <c r="M278" s="121"/>
      <c r="N278" s="133"/>
      <c r="O278" s="152">
        <f>C278*D278+E278*F278+G278*H278+I278*J278+K278*L278*0.25+M278*N278*0.25</f>
        <v>0</v>
      </c>
    </row>
    <row r="279" spans="2:15" x14ac:dyDescent="0.2">
      <c r="B279" s="144" t="s">
        <v>18</v>
      </c>
      <c r="C279" s="129"/>
      <c r="D279" s="133"/>
      <c r="E279" s="121"/>
      <c r="F279" s="133"/>
      <c r="G279" s="121"/>
      <c r="H279" s="133"/>
      <c r="I279" s="121"/>
      <c r="J279" s="133"/>
      <c r="K279" s="121"/>
      <c r="L279" s="133"/>
      <c r="M279" s="121"/>
      <c r="N279" s="133"/>
      <c r="O279" s="152">
        <f>C279*D279+E279*F279+G279*H279+I279*J279+K279*L279*0.25+M279*N279*0.25</f>
        <v>0</v>
      </c>
    </row>
    <row r="280" spans="2:15" x14ac:dyDescent="0.2">
      <c r="B280" s="144" t="s">
        <v>19</v>
      </c>
      <c r="C280" s="129"/>
      <c r="D280" s="133"/>
      <c r="E280" s="121"/>
      <c r="F280" s="133"/>
      <c r="G280" s="121"/>
      <c r="H280" s="133"/>
      <c r="I280" s="121"/>
      <c r="J280" s="133"/>
      <c r="K280" s="121"/>
      <c r="L280" s="133"/>
      <c r="M280" s="121"/>
      <c r="N280" s="133"/>
      <c r="O280" s="152">
        <f>C280*D280+E280*F280+G280*H280+I280*J280+K280*L280*0.25+M280*N280*0.25</f>
        <v>0</v>
      </c>
    </row>
    <row r="281" spans="2:15" x14ac:dyDescent="0.2">
      <c r="B281" s="144" t="s">
        <v>20</v>
      </c>
      <c r="C281" s="129"/>
      <c r="D281" s="133"/>
      <c r="E281" s="121"/>
      <c r="F281" s="133"/>
      <c r="G281" s="121"/>
      <c r="H281" s="133"/>
      <c r="I281" s="121"/>
      <c r="J281" s="133"/>
      <c r="K281" s="121"/>
      <c r="L281" s="133"/>
      <c r="M281" s="121"/>
      <c r="N281" s="133"/>
      <c r="O281" s="152">
        <f>C281*D281+E281*F281+G281*H281+I281*J281+K281*L281*0.25+M281*N281*0.25</f>
        <v>0</v>
      </c>
    </row>
    <row r="282" spans="2:15" x14ac:dyDescent="0.2">
      <c r="B282" s="144" t="s">
        <v>21</v>
      </c>
      <c r="C282" s="129"/>
      <c r="D282" s="133"/>
      <c r="E282" s="121"/>
      <c r="F282" s="133"/>
      <c r="G282" s="121"/>
      <c r="H282" s="133"/>
      <c r="I282" s="121"/>
      <c r="J282" s="133"/>
      <c r="K282" s="121"/>
      <c r="L282" s="133"/>
      <c r="M282" s="121"/>
      <c r="N282" s="133"/>
      <c r="O282" s="152">
        <f>C282*D282+E282*F282+G282*H282+I282*J282+K282*L282*0.25+M282*N282*0.25</f>
        <v>0</v>
      </c>
    </row>
    <row r="283" spans="2:15" x14ac:dyDescent="0.2">
      <c r="B283" s="145" t="s">
        <v>4</v>
      </c>
      <c r="C283" s="130">
        <f>SUMPRODUCT(C278:C282,D278:D282)</f>
        <v>0</v>
      </c>
      <c r="D283" s="134"/>
      <c r="E283" s="122">
        <f>SUMPRODUCT(E278:E282,F278:F282)</f>
        <v>0</v>
      </c>
      <c r="F283" s="134"/>
      <c r="G283" s="122">
        <f>SUMPRODUCT(G278:G282,H278:H282)</f>
        <v>0</v>
      </c>
      <c r="H283" s="134"/>
      <c r="I283" s="122">
        <f>SUMPRODUCT(I278:I282,J278:J282)</f>
        <v>0</v>
      </c>
      <c r="J283" s="134"/>
      <c r="K283" s="122">
        <f>SUMPRODUCT(K278:K282,L278:L282)*0.25</f>
        <v>0</v>
      </c>
      <c r="L283" s="134"/>
      <c r="M283" s="122">
        <f>SUMPRODUCT(M278:M282,N278:N282)*0.25</f>
        <v>0</v>
      </c>
      <c r="N283" s="134"/>
      <c r="O283" s="153">
        <f>SUM(O278:O282)</f>
        <v>0</v>
      </c>
    </row>
    <row r="284" spans="2:15" ht="17" thickBot="1" x14ac:dyDescent="0.25">
      <c r="B284" s="146" t="s">
        <v>6</v>
      </c>
      <c r="C284" s="147"/>
      <c r="D284" s="148"/>
      <c r="E284" s="149"/>
      <c r="F284" s="148"/>
      <c r="G284" s="149"/>
      <c r="H284" s="148"/>
      <c r="I284" s="149"/>
      <c r="J284" s="148"/>
      <c r="K284" s="149"/>
      <c r="L284" s="148"/>
      <c r="M284" s="149"/>
      <c r="N284" s="148"/>
      <c r="O284" s="154"/>
    </row>
    <row r="285" spans="2:15" ht="17" thickBot="1" x14ac:dyDescent="0.25"/>
    <row r="286" spans="2:15" ht="18" customHeight="1" x14ac:dyDescent="0.2">
      <c r="B286" s="255" t="s">
        <v>160</v>
      </c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7"/>
    </row>
    <row r="287" spans="2:15" ht="26" customHeight="1" x14ac:dyDescent="0.2">
      <c r="B287" s="258" t="s">
        <v>5</v>
      </c>
      <c r="C287" s="243" t="s">
        <v>133</v>
      </c>
      <c r="D287" s="244"/>
      <c r="E287" s="245" t="s">
        <v>134</v>
      </c>
      <c r="F287" s="244"/>
      <c r="G287" s="245" t="s">
        <v>135</v>
      </c>
      <c r="H287" s="244"/>
      <c r="I287" s="245" t="s">
        <v>136</v>
      </c>
      <c r="J287" s="244"/>
      <c r="K287" s="259"/>
      <c r="L287" s="260"/>
      <c r="M287" s="260"/>
      <c r="N287" s="260"/>
      <c r="O287" s="261" t="s">
        <v>14</v>
      </c>
    </row>
    <row r="288" spans="2:15" x14ac:dyDescent="0.2">
      <c r="B288" s="155">
        <v>46283</v>
      </c>
      <c r="C288" s="247" t="s">
        <v>137</v>
      </c>
      <c r="D288" s="248"/>
      <c r="E288" s="249" t="s">
        <v>138</v>
      </c>
      <c r="F288" s="248"/>
      <c r="G288" s="249" t="s">
        <v>138</v>
      </c>
      <c r="H288" s="248"/>
      <c r="I288" s="249" t="s">
        <v>139</v>
      </c>
      <c r="J288" s="248"/>
      <c r="K288" s="262"/>
      <c r="L288" s="263"/>
      <c r="M288" s="263"/>
      <c r="N288" s="263"/>
      <c r="O288" s="160"/>
    </row>
    <row r="289" spans="2:15" x14ac:dyDescent="0.2">
      <c r="B289" s="156"/>
      <c r="C289" s="123" t="s">
        <v>0</v>
      </c>
      <c r="D289" s="132" t="s">
        <v>120</v>
      </c>
      <c r="E289" s="120" t="s">
        <v>0</v>
      </c>
      <c r="F289" s="132" t="s">
        <v>120</v>
      </c>
      <c r="G289" s="120" t="s">
        <v>0</v>
      </c>
      <c r="H289" s="132" t="s">
        <v>120</v>
      </c>
      <c r="I289" s="120" t="s">
        <v>0</v>
      </c>
      <c r="J289" s="132" t="s">
        <v>120</v>
      </c>
      <c r="K289" s="264"/>
      <c r="L289" s="265"/>
      <c r="M289" s="265"/>
      <c r="N289" s="265"/>
      <c r="O289" s="161"/>
    </row>
    <row r="290" spans="2:15" x14ac:dyDescent="0.2">
      <c r="B290" s="157" t="s">
        <v>17</v>
      </c>
      <c r="C290" s="129"/>
      <c r="D290" s="133"/>
      <c r="E290" s="121"/>
      <c r="F290" s="133"/>
      <c r="G290" s="121"/>
      <c r="H290" s="133"/>
      <c r="I290" s="121"/>
      <c r="J290" s="133"/>
      <c r="K290" s="266"/>
      <c r="L290" s="267"/>
      <c r="M290" s="267"/>
      <c r="N290" s="267"/>
      <c r="O290" s="162">
        <f>C290*D290+E290*F290+G290*H290+I290*J290</f>
        <v>0</v>
      </c>
    </row>
    <row r="291" spans="2:15" x14ac:dyDescent="0.2">
      <c r="B291" s="157" t="s">
        <v>18</v>
      </c>
      <c r="C291" s="129"/>
      <c r="D291" s="133"/>
      <c r="E291" s="121"/>
      <c r="F291" s="133"/>
      <c r="G291" s="121"/>
      <c r="H291" s="133"/>
      <c r="I291" s="121"/>
      <c r="J291" s="133"/>
      <c r="K291" s="266"/>
      <c r="L291" s="267"/>
      <c r="M291" s="267"/>
      <c r="N291" s="267"/>
      <c r="O291" s="162">
        <f>C291*D291+E291*F291+G291*H291+I291*J291</f>
        <v>0</v>
      </c>
    </row>
    <row r="292" spans="2:15" x14ac:dyDescent="0.2">
      <c r="B292" s="157" t="s">
        <v>19</v>
      </c>
      <c r="C292" s="129"/>
      <c r="D292" s="133"/>
      <c r="E292" s="121"/>
      <c r="F292" s="133"/>
      <c r="G292" s="121"/>
      <c r="H292" s="133"/>
      <c r="I292" s="121"/>
      <c r="J292" s="133"/>
      <c r="K292" s="266"/>
      <c r="L292" s="267"/>
      <c r="M292" s="267"/>
      <c r="N292" s="267"/>
      <c r="O292" s="162">
        <f>C292*D292+E292*F292+G292*H292+I292*J292</f>
        <v>0</v>
      </c>
    </row>
    <row r="293" spans="2:15" x14ac:dyDescent="0.2">
      <c r="B293" s="157" t="s">
        <v>20</v>
      </c>
      <c r="C293" s="129"/>
      <c r="D293" s="133"/>
      <c r="E293" s="121"/>
      <c r="F293" s="133"/>
      <c r="G293" s="121"/>
      <c r="H293" s="133"/>
      <c r="I293" s="121"/>
      <c r="J293" s="133"/>
      <c r="K293" s="266"/>
      <c r="L293" s="267"/>
      <c r="M293" s="267"/>
      <c r="N293" s="267"/>
      <c r="O293" s="162">
        <f>C293*D293+E293*F293+G293*H293+I293*J293</f>
        <v>0</v>
      </c>
    </row>
    <row r="294" spans="2:15" x14ac:dyDescent="0.2">
      <c r="B294" s="157" t="s">
        <v>21</v>
      </c>
      <c r="C294" s="129"/>
      <c r="D294" s="133"/>
      <c r="E294" s="121"/>
      <c r="F294" s="133"/>
      <c r="G294" s="121"/>
      <c r="H294" s="133"/>
      <c r="I294" s="121"/>
      <c r="J294" s="133"/>
      <c r="K294" s="266"/>
      <c r="L294" s="267"/>
      <c r="M294" s="267"/>
      <c r="N294" s="267"/>
      <c r="O294" s="162">
        <f>C294*D294+E294*F294+G294*H294+I294*J294</f>
        <v>0</v>
      </c>
    </row>
    <row r="295" spans="2:15" x14ac:dyDescent="0.2">
      <c r="B295" s="158" t="s">
        <v>4</v>
      </c>
      <c r="C295" s="130">
        <f>SUMPRODUCT(C290:C294,D290:D294)</f>
        <v>0</v>
      </c>
      <c r="D295" s="134"/>
      <c r="E295" s="122">
        <f>SUMPRODUCT(E290:E294,F290:F294)</f>
        <v>0</v>
      </c>
      <c r="F295" s="134"/>
      <c r="G295" s="122">
        <f>SUMPRODUCT(G290:G294,H290:H294)</f>
        <v>0</v>
      </c>
      <c r="H295" s="134"/>
      <c r="I295" s="122">
        <f>SUMPRODUCT(I290:I294,J290:J294)</f>
        <v>0</v>
      </c>
      <c r="J295" s="134"/>
      <c r="K295" s="268"/>
      <c r="L295" s="269"/>
      <c r="M295" s="269"/>
      <c r="N295" s="269"/>
      <c r="O295" s="163">
        <f>SUM(O290:O294)</f>
        <v>0</v>
      </c>
    </row>
    <row r="296" spans="2:15" ht="17" thickBot="1" x14ac:dyDescent="0.25">
      <c r="B296" s="159" t="s">
        <v>6</v>
      </c>
      <c r="C296" s="165"/>
      <c r="D296" s="166"/>
      <c r="E296" s="167"/>
      <c r="F296" s="166"/>
      <c r="G296" s="167"/>
      <c r="H296" s="166"/>
      <c r="I296" s="167"/>
      <c r="J296" s="166"/>
      <c r="K296" s="270"/>
      <c r="L296" s="271"/>
      <c r="M296" s="271"/>
      <c r="N296" s="271"/>
      <c r="O296" s="164"/>
    </row>
    <row r="297" spans="2:15" ht="17" thickBot="1" x14ac:dyDescent="0.25"/>
    <row r="298" spans="2:15" ht="18" customHeight="1" x14ac:dyDescent="0.2">
      <c r="B298" s="215" t="s">
        <v>161</v>
      </c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7"/>
    </row>
    <row r="299" spans="2:15" ht="26" customHeight="1" x14ac:dyDescent="0.2">
      <c r="B299" s="242" t="s">
        <v>5</v>
      </c>
      <c r="C299" s="243" t="s">
        <v>109</v>
      </c>
      <c r="D299" s="244"/>
      <c r="E299" s="245" t="s">
        <v>110</v>
      </c>
      <c r="F299" s="244"/>
      <c r="G299" s="245" t="s">
        <v>48</v>
      </c>
      <c r="H299" s="244"/>
      <c r="I299" s="245" t="s">
        <v>111</v>
      </c>
      <c r="J299" s="244"/>
      <c r="K299" s="245" t="s">
        <v>112</v>
      </c>
      <c r="L299" s="244"/>
      <c r="M299" s="245" t="s">
        <v>113</v>
      </c>
      <c r="N299" s="244"/>
      <c r="O299" s="246" t="s">
        <v>14</v>
      </c>
    </row>
    <row r="300" spans="2:15" x14ac:dyDescent="0.2">
      <c r="B300" s="124">
        <v>46286</v>
      </c>
      <c r="C300" s="247" t="s">
        <v>114</v>
      </c>
      <c r="D300" s="248"/>
      <c r="E300" s="249" t="s">
        <v>115</v>
      </c>
      <c r="F300" s="248"/>
      <c r="G300" s="249" t="s">
        <v>116</v>
      </c>
      <c r="H300" s="248"/>
      <c r="I300" s="249" t="s">
        <v>117</v>
      </c>
      <c r="J300" s="248"/>
      <c r="K300" s="249" t="s">
        <v>118</v>
      </c>
      <c r="L300" s="248"/>
      <c r="M300" s="249" t="s">
        <v>119</v>
      </c>
      <c r="N300" s="248"/>
      <c r="O300" s="137"/>
    </row>
    <row r="301" spans="2:15" x14ac:dyDescent="0.2">
      <c r="B301" s="125"/>
      <c r="C301" s="123" t="s">
        <v>0</v>
      </c>
      <c r="D301" s="132" t="s">
        <v>120</v>
      </c>
      <c r="E301" s="120" t="s">
        <v>0</v>
      </c>
      <c r="F301" s="132" t="s">
        <v>120</v>
      </c>
      <c r="G301" s="120" t="s">
        <v>0</v>
      </c>
      <c r="H301" s="132" t="s">
        <v>120</v>
      </c>
      <c r="I301" s="120" t="s">
        <v>0</v>
      </c>
      <c r="J301" s="132" t="s">
        <v>120</v>
      </c>
      <c r="K301" s="120" t="s">
        <v>0</v>
      </c>
      <c r="L301" s="132" t="s">
        <v>120</v>
      </c>
      <c r="M301" s="120" t="s">
        <v>0</v>
      </c>
      <c r="N301" s="132" t="s">
        <v>120</v>
      </c>
      <c r="O301" s="138"/>
    </row>
    <row r="302" spans="2:15" x14ac:dyDescent="0.2">
      <c r="B302" s="126" t="s">
        <v>17</v>
      </c>
      <c r="C302" s="129"/>
      <c r="D302" s="133"/>
      <c r="E302" s="121"/>
      <c r="F302" s="133"/>
      <c r="G302" s="121"/>
      <c r="H302" s="133"/>
      <c r="I302" s="121"/>
      <c r="J302" s="133"/>
      <c r="K302" s="121"/>
      <c r="L302" s="133"/>
      <c r="M302" s="121"/>
      <c r="N302" s="133"/>
      <c r="O302" s="139">
        <f>C302*D302+E302*F302+G302*H302+I302*J302+K302*L302*0.25+M302*N302*0.25</f>
        <v>0</v>
      </c>
    </row>
    <row r="303" spans="2:15" x14ac:dyDescent="0.2">
      <c r="B303" s="126" t="s">
        <v>18</v>
      </c>
      <c r="C303" s="129"/>
      <c r="D303" s="133"/>
      <c r="E303" s="121"/>
      <c r="F303" s="133"/>
      <c r="G303" s="121"/>
      <c r="H303" s="133"/>
      <c r="I303" s="121"/>
      <c r="J303" s="133"/>
      <c r="K303" s="121"/>
      <c r="L303" s="133"/>
      <c r="M303" s="121"/>
      <c r="N303" s="133"/>
      <c r="O303" s="139">
        <f>C303*D303+E303*F303+G303*H303+I303*J303+K303*L303*0.25+M303*N303*0.25</f>
        <v>0</v>
      </c>
    </row>
    <row r="304" spans="2:15" x14ac:dyDescent="0.2">
      <c r="B304" s="126" t="s">
        <v>19</v>
      </c>
      <c r="C304" s="129"/>
      <c r="D304" s="133"/>
      <c r="E304" s="121"/>
      <c r="F304" s="133"/>
      <c r="G304" s="121"/>
      <c r="H304" s="133"/>
      <c r="I304" s="121"/>
      <c r="J304" s="133"/>
      <c r="K304" s="121"/>
      <c r="L304" s="133"/>
      <c r="M304" s="121"/>
      <c r="N304" s="133"/>
      <c r="O304" s="139">
        <f>C304*D304+E304*F304+G304*H304+I304*J304+K304*L304*0.25+M304*N304*0.25</f>
        <v>0</v>
      </c>
    </row>
    <row r="305" spans="2:15" x14ac:dyDescent="0.2">
      <c r="B305" s="126" t="s">
        <v>20</v>
      </c>
      <c r="C305" s="129"/>
      <c r="D305" s="133"/>
      <c r="E305" s="121"/>
      <c r="F305" s="133"/>
      <c r="G305" s="121"/>
      <c r="H305" s="133"/>
      <c r="I305" s="121"/>
      <c r="J305" s="133"/>
      <c r="K305" s="121"/>
      <c r="L305" s="133"/>
      <c r="M305" s="121"/>
      <c r="N305" s="133"/>
      <c r="O305" s="139">
        <f>C305*D305+E305*F305+G305*H305+I305*J305+K305*L305*0.25+M305*N305*0.25</f>
        <v>0</v>
      </c>
    </row>
    <row r="306" spans="2:15" x14ac:dyDescent="0.2">
      <c r="B306" s="126" t="s">
        <v>21</v>
      </c>
      <c r="C306" s="129"/>
      <c r="D306" s="133"/>
      <c r="E306" s="121"/>
      <c r="F306" s="133"/>
      <c r="G306" s="121"/>
      <c r="H306" s="133"/>
      <c r="I306" s="121"/>
      <c r="J306" s="133"/>
      <c r="K306" s="121"/>
      <c r="L306" s="133"/>
      <c r="M306" s="121"/>
      <c r="N306" s="133"/>
      <c r="O306" s="139">
        <f>C306*D306+E306*F306+G306*H306+I306*J306+K306*L306*0.25+M306*N306*0.25</f>
        <v>0</v>
      </c>
    </row>
    <row r="307" spans="2:15" x14ac:dyDescent="0.2">
      <c r="B307" s="127" t="s">
        <v>4</v>
      </c>
      <c r="C307" s="130">
        <f>SUMPRODUCT(C302:C306,D302:D306)</f>
        <v>0</v>
      </c>
      <c r="D307" s="134"/>
      <c r="E307" s="122">
        <f>SUMPRODUCT(E302:E306,F302:F306)</f>
        <v>0</v>
      </c>
      <c r="F307" s="134"/>
      <c r="G307" s="122">
        <f>SUMPRODUCT(G302:G306,H302:H306)</f>
        <v>0</v>
      </c>
      <c r="H307" s="134"/>
      <c r="I307" s="122">
        <f>SUMPRODUCT(I302:I306,J302:J306)</f>
        <v>0</v>
      </c>
      <c r="J307" s="134"/>
      <c r="K307" s="122">
        <f>SUMPRODUCT(K302:K306,L302:L306)*0.25</f>
        <v>0</v>
      </c>
      <c r="L307" s="134"/>
      <c r="M307" s="122">
        <f>SUMPRODUCT(M302:M306,N302:N306)*0.25</f>
        <v>0</v>
      </c>
      <c r="N307" s="134"/>
      <c r="O307" s="140">
        <f>SUM(O302:O306)</f>
        <v>0</v>
      </c>
    </row>
    <row r="308" spans="2:15" ht="17" thickBot="1" x14ac:dyDescent="0.25">
      <c r="B308" s="128" t="s">
        <v>6</v>
      </c>
      <c r="C308" s="131"/>
      <c r="D308" s="135"/>
      <c r="E308" s="136"/>
      <c r="F308" s="135"/>
      <c r="G308" s="136"/>
      <c r="H308" s="135"/>
      <c r="I308" s="136"/>
      <c r="J308" s="135"/>
      <c r="K308" s="136"/>
      <c r="L308" s="135"/>
      <c r="M308" s="136"/>
      <c r="N308" s="135"/>
      <c r="O308" s="141"/>
    </row>
    <row r="309" spans="2:15" ht="17" thickBot="1" x14ac:dyDescent="0.25"/>
    <row r="310" spans="2:15" ht="18" customHeight="1" x14ac:dyDescent="0.2">
      <c r="B310" s="250" t="s">
        <v>162</v>
      </c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2"/>
    </row>
    <row r="311" spans="2:15" ht="26" customHeight="1" x14ac:dyDescent="0.2">
      <c r="B311" s="253" t="s">
        <v>5</v>
      </c>
      <c r="C311" s="243" t="s">
        <v>2</v>
      </c>
      <c r="D311" s="244"/>
      <c r="E311" s="245" t="s">
        <v>122</v>
      </c>
      <c r="F311" s="244"/>
      <c r="G311" s="245" t="s">
        <v>123</v>
      </c>
      <c r="H311" s="244"/>
      <c r="I311" s="245" t="s">
        <v>124</v>
      </c>
      <c r="J311" s="244"/>
      <c r="K311" s="245" t="s">
        <v>125</v>
      </c>
      <c r="L311" s="244"/>
      <c r="M311" s="245" t="s">
        <v>126</v>
      </c>
      <c r="N311" s="244"/>
      <c r="O311" s="254" t="s">
        <v>14</v>
      </c>
    </row>
    <row r="312" spans="2:15" x14ac:dyDescent="0.2">
      <c r="B312" s="142">
        <v>46288</v>
      </c>
      <c r="C312" s="247" t="s">
        <v>127</v>
      </c>
      <c r="D312" s="248"/>
      <c r="E312" s="249" t="s">
        <v>128</v>
      </c>
      <c r="F312" s="248"/>
      <c r="G312" s="249" t="s">
        <v>117</v>
      </c>
      <c r="H312" s="248"/>
      <c r="I312" s="249" t="s">
        <v>129</v>
      </c>
      <c r="J312" s="248"/>
      <c r="K312" s="249" t="s">
        <v>130</v>
      </c>
      <c r="L312" s="248"/>
      <c r="M312" s="249" t="s">
        <v>131</v>
      </c>
      <c r="N312" s="248"/>
      <c r="O312" s="150"/>
    </row>
    <row r="313" spans="2:15" x14ac:dyDescent="0.2">
      <c r="B313" s="143"/>
      <c r="C313" s="123" t="s">
        <v>0</v>
      </c>
      <c r="D313" s="132" t="s">
        <v>120</v>
      </c>
      <c r="E313" s="120" t="s">
        <v>0</v>
      </c>
      <c r="F313" s="132" t="s">
        <v>120</v>
      </c>
      <c r="G313" s="120" t="s">
        <v>0</v>
      </c>
      <c r="H313" s="132" t="s">
        <v>120</v>
      </c>
      <c r="I313" s="120" t="s">
        <v>0</v>
      </c>
      <c r="J313" s="132" t="s">
        <v>120</v>
      </c>
      <c r="K313" s="120" t="s">
        <v>0</v>
      </c>
      <c r="L313" s="132" t="s">
        <v>120</v>
      </c>
      <c r="M313" s="120" t="s">
        <v>0</v>
      </c>
      <c r="N313" s="132" t="s">
        <v>120</v>
      </c>
      <c r="O313" s="151"/>
    </row>
    <row r="314" spans="2:15" x14ac:dyDescent="0.2">
      <c r="B314" s="144" t="s">
        <v>17</v>
      </c>
      <c r="C314" s="129"/>
      <c r="D314" s="133"/>
      <c r="E314" s="121"/>
      <c r="F314" s="133"/>
      <c r="G314" s="121"/>
      <c r="H314" s="133"/>
      <c r="I314" s="121"/>
      <c r="J314" s="133"/>
      <c r="K314" s="121"/>
      <c r="L314" s="133"/>
      <c r="M314" s="121"/>
      <c r="N314" s="133"/>
      <c r="O314" s="152">
        <f>C314*D314+E314*F314+G314*H314+I314*J314+K314*L314*0.25+M314*N314*0.25</f>
        <v>0</v>
      </c>
    </row>
    <row r="315" spans="2:15" x14ac:dyDescent="0.2">
      <c r="B315" s="144" t="s">
        <v>18</v>
      </c>
      <c r="C315" s="129"/>
      <c r="D315" s="133"/>
      <c r="E315" s="121"/>
      <c r="F315" s="133"/>
      <c r="G315" s="121"/>
      <c r="H315" s="133"/>
      <c r="I315" s="121"/>
      <c r="J315" s="133"/>
      <c r="K315" s="121"/>
      <c r="L315" s="133"/>
      <c r="M315" s="121"/>
      <c r="N315" s="133"/>
      <c r="O315" s="152">
        <f>C315*D315+E315*F315+G315*H315+I315*J315+K315*L315*0.25+M315*N315*0.25</f>
        <v>0</v>
      </c>
    </row>
    <row r="316" spans="2:15" x14ac:dyDescent="0.2">
      <c r="B316" s="144" t="s">
        <v>19</v>
      </c>
      <c r="C316" s="129"/>
      <c r="D316" s="133"/>
      <c r="E316" s="121"/>
      <c r="F316" s="133"/>
      <c r="G316" s="121"/>
      <c r="H316" s="133"/>
      <c r="I316" s="121"/>
      <c r="J316" s="133"/>
      <c r="K316" s="121"/>
      <c r="L316" s="133"/>
      <c r="M316" s="121"/>
      <c r="N316" s="133"/>
      <c r="O316" s="152">
        <f>C316*D316+E316*F316+G316*H316+I316*J316+K316*L316*0.25+M316*N316*0.25</f>
        <v>0</v>
      </c>
    </row>
    <row r="317" spans="2:15" x14ac:dyDescent="0.2">
      <c r="B317" s="144" t="s">
        <v>20</v>
      </c>
      <c r="C317" s="129"/>
      <c r="D317" s="133"/>
      <c r="E317" s="121"/>
      <c r="F317" s="133"/>
      <c r="G317" s="121"/>
      <c r="H317" s="133"/>
      <c r="I317" s="121"/>
      <c r="J317" s="133"/>
      <c r="K317" s="121"/>
      <c r="L317" s="133"/>
      <c r="M317" s="121"/>
      <c r="N317" s="133"/>
      <c r="O317" s="152">
        <f>C317*D317+E317*F317+G317*H317+I317*J317+K317*L317*0.25+M317*N317*0.25</f>
        <v>0</v>
      </c>
    </row>
    <row r="318" spans="2:15" x14ac:dyDescent="0.2">
      <c r="B318" s="144" t="s">
        <v>21</v>
      </c>
      <c r="C318" s="129"/>
      <c r="D318" s="133"/>
      <c r="E318" s="121"/>
      <c r="F318" s="133"/>
      <c r="G318" s="121"/>
      <c r="H318" s="133"/>
      <c r="I318" s="121"/>
      <c r="J318" s="133"/>
      <c r="K318" s="121"/>
      <c r="L318" s="133"/>
      <c r="M318" s="121"/>
      <c r="N318" s="133"/>
      <c r="O318" s="152">
        <f>C318*D318+E318*F318+G318*H318+I318*J318+K318*L318*0.25+M318*N318*0.25</f>
        <v>0</v>
      </c>
    </row>
    <row r="319" spans="2:15" x14ac:dyDescent="0.2">
      <c r="B319" s="145" t="s">
        <v>4</v>
      </c>
      <c r="C319" s="130">
        <f>SUMPRODUCT(C314:C318,D314:D318)</f>
        <v>0</v>
      </c>
      <c r="D319" s="134"/>
      <c r="E319" s="122">
        <f>SUMPRODUCT(E314:E318,F314:F318)</f>
        <v>0</v>
      </c>
      <c r="F319" s="134"/>
      <c r="G319" s="122">
        <f>SUMPRODUCT(G314:G318,H314:H318)</f>
        <v>0</v>
      </c>
      <c r="H319" s="134"/>
      <c r="I319" s="122">
        <f>SUMPRODUCT(I314:I318,J314:J318)</f>
        <v>0</v>
      </c>
      <c r="J319" s="134"/>
      <c r="K319" s="122">
        <f>SUMPRODUCT(K314:K318,L314:L318)*0.25</f>
        <v>0</v>
      </c>
      <c r="L319" s="134"/>
      <c r="M319" s="122">
        <f>SUMPRODUCT(M314:M318,N314:N318)*0.25</f>
        <v>0</v>
      </c>
      <c r="N319" s="134"/>
      <c r="O319" s="153">
        <f>SUM(O314:O318)</f>
        <v>0</v>
      </c>
    </row>
    <row r="320" spans="2:15" ht="17" thickBot="1" x14ac:dyDescent="0.25">
      <c r="B320" s="146" t="s">
        <v>6</v>
      </c>
      <c r="C320" s="147"/>
      <c r="D320" s="148"/>
      <c r="E320" s="149"/>
      <c r="F320" s="148"/>
      <c r="G320" s="149"/>
      <c r="H320" s="148"/>
      <c r="I320" s="149"/>
      <c r="J320" s="148"/>
      <c r="K320" s="149"/>
      <c r="L320" s="148"/>
      <c r="M320" s="149"/>
      <c r="N320" s="148"/>
      <c r="O320" s="154"/>
    </row>
    <row r="321" spans="2:15" ht="17" thickBot="1" x14ac:dyDescent="0.25"/>
    <row r="322" spans="2:15" ht="18" customHeight="1" x14ac:dyDescent="0.2">
      <c r="B322" s="255" t="s">
        <v>163</v>
      </c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7"/>
    </row>
    <row r="323" spans="2:15" ht="26" customHeight="1" x14ac:dyDescent="0.2">
      <c r="B323" s="258" t="s">
        <v>5</v>
      </c>
      <c r="C323" s="243" t="s">
        <v>133</v>
      </c>
      <c r="D323" s="244"/>
      <c r="E323" s="245" t="s">
        <v>134</v>
      </c>
      <c r="F323" s="244"/>
      <c r="G323" s="245" t="s">
        <v>135</v>
      </c>
      <c r="H323" s="244"/>
      <c r="I323" s="245" t="s">
        <v>136</v>
      </c>
      <c r="J323" s="244"/>
      <c r="K323" s="259"/>
      <c r="L323" s="260"/>
      <c r="M323" s="260"/>
      <c r="N323" s="260"/>
      <c r="O323" s="261" t="s">
        <v>14</v>
      </c>
    </row>
    <row r="324" spans="2:15" x14ac:dyDescent="0.2">
      <c r="B324" s="155">
        <v>46290</v>
      </c>
      <c r="C324" s="247" t="s">
        <v>137</v>
      </c>
      <c r="D324" s="248"/>
      <c r="E324" s="249" t="s">
        <v>138</v>
      </c>
      <c r="F324" s="248"/>
      <c r="G324" s="249" t="s">
        <v>138</v>
      </c>
      <c r="H324" s="248"/>
      <c r="I324" s="249" t="s">
        <v>139</v>
      </c>
      <c r="J324" s="248"/>
      <c r="K324" s="262"/>
      <c r="L324" s="263"/>
      <c r="M324" s="263"/>
      <c r="N324" s="263"/>
      <c r="O324" s="160"/>
    </row>
    <row r="325" spans="2:15" x14ac:dyDescent="0.2">
      <c r="B325" s="156"/>
      <c r="C325" s="123" t="s">
        <v>0</v>
      </c>
      <c r="D325" s="132" t="s">
        <v>120</v>
      </c>
      <c r="E325" s="120" t="s">
        <v>0</v>
      </c>
      <c r="F325" s="132" t="s">
        <v>120</v>
      </c>
      <c r="G325" s="120" t="s">
        <v>0</v>
      </c>
      <c r="H325" s="132" t="s">
        <v>120</v>
      </c>
      <c r="I325" s="120" t="s">
        <v>0</v>
      </c>
      <c r="J325" s="132" t="s">
        <v>120</v>
      </c>
      <c r="K325" s="264"/>
      <c r="L325" s="265"/>
      <c r="M325" s="265"/>
      <c r="N325" s="265"/>
      <c r="O325" s="161"/>
    </row>
    <row r="326" spans="2:15" x14ac:dyDescent="0.2">
      <c r="B326" s="157" t="s">
        <v>17</v>
      </c>
      <c r="C326" s="129"/>
      <c r="D326" s="133"/>
      <c r="E326" s="121"/>
      <c r="F326" s="133"/>
      <c r="G326" s="121"/>
      <c r="H326" s="133"/>
      <c r="I326" s="121"/>
      <c r="J326" s="133"/>
      <c r="K326" s="266"/>
      <c r="L326" s="267"/>
      <c r="M326" s="267"/>
      <c r="N326" s="267"/>
      <c r="O326" s="162">
        <f>C326*D326+E326*F326+G326*H326+I326*J326</f>
        <v>0</v>
      </c>
    </row>
    <row r="327" spans="2:15" x14ac:dyDescent="0.2">
      <c r="B327" s="157" t="s">
        <v>18</v>
      </c>
      <c r="C327" s="129"/>
      <c r="D327" s="133"/>
      <c r="E327" s="121"/>
      <c r="F327" s="133"/>
      <c r="G327" s="121"/>
      <c r="H327" s="133"/>
      <c r="I327" s="121"/>
      <c r="J327" s="133"/>
      <c r="K327" s="266"/>
      <c r="L327" s="267"/>
      <c r="M327" s="267"/>
      <c r="N327" s="267"/>
      <c r="O327" s="162">
        <f>C327*D327+E327*F327+G327*H327+I327*J327</f>
        <v>0</v>
      </c>
    </row>
    <row r="328" spans="2:15" x14ac:dyDescent="0.2">
      <c r="B328" s="157" t="s">
        <v>19</v>
      </c>
      <c r="C328" s="129"/>
      <c r="D328" s="133"/>
      <c r="E328" s="121"/>
      <c r="F328" s="133"/>
      <c r="G328" s="121"/>
      <c r="H328" s="133"/>
      <c r="I328" s="121"/>
      <c r="J328" s="133"/>
      <c r="K328" s="266"/>
      <c r="L328" s="267"/>
      <c r="M328" s="267"/>
      <c r="N328" s="267"/>
      <c r="O328" s="162">
        <f>C328*D328+E328*F328+G328*H328+I328*J328</f>
        <v>0</v>
      </c>
    </row>
    <row r="329" spans="2:15" x14ac:dyDescent="0.2">
      <c r="B329" s="157" t="s">
        <v>20</v>
      </c>
      <c r="C329" s="129"/>
      <c r="D329" s="133"/>
      <c r="E329" s="121"/>
      <c r="F329" s="133"/>
      <c r="G329" s="121"/>
      <c r="H329" s="133"/>
      <c r="I329" s="121"/>
      <c r="J329" s="133"/>
      <c r="K329" s="266"/>
      <c r="L329" s="267"/>
      <c r="M329" s="267"/>
      <c r="N329" s="267"/>
      <c r="O329" s="162">
        <f>C329*D329+E329*F329+G329*H329+I329*J329</f>
        <v>0</v>
      </c>
    </row>
    <row r="330" spans="2:15" x14ac:dyDescent="0.2">
      <c r="B330" s="157" t="s">
        <v>21</v>
      </c>
      <c r="C330" s="129"/>
      <c r="D330" s="133"/>
      <c r="E330" s="121"/>
      <c r="F330" s="133"/>
      <c r="G330" s="121"/>
      <c r="H330" s="133"/>
      <c r="I330" s="121"/>
      <c r="J330" s="133"/>
      <c r="K330" s="266"/>
      <c r="L330" s="267"/>
      <c r="M330" s="267"/>
      <c r="N330" s="267"/>
      <c r="O330" s="162">
        <f>C330*D330+E330*F330+G330*H330+I330*J330</f>
        <v>0</v>
      </c>
    </row>
    <row r="331" spans="2:15" x14ac:dyDescent="0.2">
      <c r="B331" s="158" t="s">
        <v>4</v>
      </c>
      <c r="C331" s="130">
        <f>SUMPRODUCT(C326:C330,D326:D330)</f>
        <v>0</v>
      </c>
      <c r="D331" s="134"/>
      <c r="E331" s="122">
        <f>SUMPRODUCT(E326:E330,F326:F330)</f>
        <v>0</v>
      </c>
      <c r="F331" s="134"/>
      <c r="G331" s="122">
        <f>SUMPRODUCT(G326:G330,H326:H330)</f>
        <v>0</v>
      </c>
      <c r="H331" s="134"/>
      <c r="I331" s="122">
        <f>SUMPRODUCT(I326:I330,J326:J330)</f>
        <v>0</v>
      </c>
      <c r="J331" s="134"/>
      <c r="K331" s="268"/>
      <c r="L331" s="269"/>
      <c r="M331" s="269"/>
      <c r="N331" s="269"/>
      <c r="O331" s="163">
        <f>SUM(O326:O330)</f>
        <v>0</v>
      </c>
    </row>
    <row r="332" spans="2:15" ht="17" thickBot="1" x14ac:dyDescent="0.25">
      <c r="B332" s="159" t="s">
        <v>6</v>
      </c>
      <c r="C332" s="165"/>
      <c r="D332" s="166"/>
      <c r="E332" s="167"/>
      <c r="F332" s="166"/>
      <c r="G332" s="167"/>
      <c r="H332" s="166"/>
      <c r="I332" s="167"/>
      <c r="J332" s="166"/>
      <c r="K332" s="270"/>
      <c r="L332" s="271"/>
      <c r="M332" s="271"/>
      <c r="N332" s="271"/>
      <c r="O332" s="164"/>
    </row>
    <row r="333" spans="2:15" ht="17" thickBot="1" x14ac:dyDescent="0.25"/>
    <row r="334" spans="2:15" ht="18" customHeight="1" x14ac:dyDescent="0.2">
      <c r="B334" s="215" t="s">
        <v>164</v>
      </c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7"/>
    </row>
    <row r="335" spans="2:15" ht="26" customHeight="1" x14ac:dyDescent="0.2">
      <c r="B335" s="242" t="s">
        <v>5</v>
      </c>
      <c r="C335" s="243" t="s">
        <v>109</v>
      </c>
      <c r="D335" s="244"/>
      <c r="E335" s="245" t="s">
        <v>110</v>
      </c>
      <c r="F335" s="244"/>
      <c r="G335" s="245" t="s">
        <v>48</v>
      </c>
      <c r="H335" s="244"/>
      <c r="I335" s="245" t="s">
        <v>111</v>
      </c>
      <c r="J335" s="244"/>
      <c r="K335" s="245" t="s">
        <v>112</v>
      </c>
      <c r="L335" s="244"/>
      <c r="M335" s="245" t="s">
        <v>113</v>
      </c>
      <c r="N335" s="244"/>
      <c r="O335" s="246" t="s">
        <v>14</v>
      </c>
    </row>
    <row r="336" spans="2:15" x14ac:dyDescent="0.2">
      <c r="B336" s="124">
        <v>46293</v>
      </c>
      <c r="C336" s="247" t="s">
        <v>114</v>
      </c>
      <c r="D336" s="248"/>
      <c r="E336" s="249" t="s">
        <v>115</v>
      </c>
      <c r="F336" s="248"/>
      <c r="G336" s="249" t="s">
        <v>116</v>
      </c>
      <c r="H336" s="248"/>
      <c r="I336" s="249" t="s">
        <v>117</v>
      </c>
      <c r="J336" s="248"/>
      <c r="K336" s="249" t="s">
        <v>118</v>
      </c>
      <c r="L336" s="248"/>
      <c r="M336" s="249" t="s">
        <v>119</v>
      </c>
      <c r="N336" s="248"/>
      <c r="O336" s="137"/>
    </row>
    <row r="337" spans="2:15" x14ac:dyDescent="0.2">
      <c r="B337" s="125"/>
      <c r="C337" s="123" t="s">
        <v>0</v>
      </c>
      <c r="D337" s="132" t="s">
        <v>120</v>
      </c>
      <c r="E337" s="120" t="s">
        <v>0</v>
      </c>
      <c r="F337" s="132" t="s">
        <v>120</v>
      </c>
      <c r="G337" s="120" t="s">
        <v>0</v>
      </c>
      <c r="H337" s="132" t="s">
        <v>120</v>
      </c>
      <c r="I337" s="120" t="s">
        <v>0</v>
      </c>
      <c r="J337" s="132" t="s">
        <v>120</v>
      </c>
      <c r="K337" s="120" t="s">
        <v>0</v>
      </c>
      <c r="L337" s="132" t="s">
        <v>120</v>
      </c>
      <c r="M337" s="120" t="s">
        <v>0</v>
      </c>
      <c r="N337" s="132" t="s">
        <v>120</v>
      </c>
      <c r="O337" s="138"/>
    </row>
    <row r="338" spans="2:15" x14ac:dyDescent="0.2">
      <c r="B338" s="126" t="s">
        <v>17</v>
      </c>
      <c r="C338" s="129"/>
      <c r="D338" s="133"/>
      <c r="E338" s="121"/>
      <c r="F338" s="133"/>
      <c r="G338" s="121"/>
      <c r="H338" s="133"/>
      <c r="I338" s="121"/>
      <c r="J338" s="133"/>
      <c r="K338" s="121"/>
      <c r="L338" s="133"/>
      <c r="M338" s="121"/>
      <c r="N338" s="133"/>
      <c r="O338" s="139">
        <f>C338*D338+E338*F338+G338*H338+I338*J338+K338*L338*0.25+M338*N338*0.25</f>
        <v>0</v>
      </c>
    </row>
    <row r="339" spans="2:15" x14ac:dyDescent="0.2">
      <c r="B339" s="126" t="s">
        <v>18</v>
      </c>
      <c r="C339" s="129"/>
      <c r="D339" s="133"/>
      <c r="E339" s="121"/>
      <c r="F339" s="133"/>
      <c r="G339" s="121"/>
      <c r="H339" s="133"/>
      <c r="I339" s="121"/>
      <c r="J339" s="133"/>
      <c r="K339" s="121"/>
      <c r="L339" s="133"/>
      <c r="M339" s="121"/>
      <c r="N339" s="133"/>
      <c r="O339" s="139">
        <f>C339*D339+E339*F339+G339*H339+I339*J339+K339*L339*0.25+M339*N339*0.25</f>
        <v>0</v>
      </c>
    </row>
    <row r="340" spans="2:15" x14ac:dyDescent="0.2">
      <c r="B340" s="126" t="s">
        <v>19</v>
      </c>
      <c r="C340" s="129"/>
      <c r="D340" s="133"/>
      <c r="E340" s="121"/>
      <c r="F340" s="133"/>
      <c r="G340" s="121"/>
      <c r="H340" s="133"/>
      <c r="I340" s="121"/>
      <c r="J340" s="133"/>
      <c r="K340" s="121"/>
      <c r="L340" s="133"/>
      <c r="M340" s="121"/>
      <c r="N340" s="133"/>
      <c r="O340" s="139">
        <f>C340*D340+E340*F340+G340*H340+I340*J340+K340*L340*0.25+M340*N340*0.25</f>
        <v>0</v>
      </c>
    </row>
    <row r="341" spans="2:15" x14ac:dyDescent="0.2">
      <c r="B341" s="126" t="s">
        <v>20</v>
      </c>
      <c r="C341" s="129"/>
      <c r="D341" s="133"/>
      <c r="E341" s="121"/>
      <c r="F341" s="133"/>
      <c r="G341" s="121"/>
      <c r="H341" s="133"/>
      <c r="I341" s="121"/>
      <c r="J341" s="133"/>
      <c r="K341" s="121"/>
      <c r="L341" s="133"/>
      <c r="M341" s="121"/>
      <c r="N341" s="133"/>
      <c r="O341" s="139">
        <f>C341*D341+E341*F341+G341*H341+I341*J341+K341*L341*0.25+M341*N341*0.25</f>
        <v>0</v>
      </c>
    </row>
    <row r="342" spans="2:15" x14ac:dyDescent="0.2">
      <c r="B342" s="126" t="s">
        <v>21</v>
      </c>
      <c r="C342" s="129"/>
      <c r="D342" s="133"/>
      <c r="E342" s="121"/>
      <c r="F342" s="133"/>
      <c r="G342" s="121"/>
      <c r="H342" s="133"/>
      <c r="I342" s="121"/>
      <c r="J342" s="133"/>
      <c r="K342" s="121"/>
      <c r="L342" s="133"/>
      <c r="M342" s="121"/>
      <c r="N342" s="133"/>
      <c r="O342" s="139">
        <f>C342*D342+E342*F342+G342*H342+I342*J342+K342*L342*0.25+M342*N342*0.25</f>
        <v>0</v>
      </c>
    </row>
    <row r="343" spans="2:15" x14ac:dyDescent="0.2">
      <c r="B343" s="127" t="s">
        <v>4</v>
      </c>
      <c r="C343" s="130">
        <f>SUMPRODUCT(C338:C342,D338:D342)</f>
        <v>0</v>
      </c>
      <c r="D343" s="134"/>
      <c r="E343" s="122">
        <f>SUMPRODUCT(E338:E342,F338:F342)</f>
        <v>0</v>
      </c>
      <c r="F343" s="134"/>
      <c r="G343" s="122">
        <f>SUMPRODUCT(G338:G342,H338:H342)</f>
        <v>0</v>
      </c>
      <c r="H343" s="134"/>
      <c r="I343" s="122">
        <f>SUMPRODUCT(I338:I342,J338:J342)</f>
        <v>0</v>
      </c>
      <c r="J343" s="134"/>
      <c r="K343" s="122">
        <f>SUMPRODUCT(K338:K342,L338:L342)*0.25</f>
        <v>0</v>
      </c>
      <c r="L343" s="134"/>
      <c r="M343" s="122">
        <f>SUMPRODUCT(M338:M342,N338:N342)*0.25</f>
        <v>0</v>
      </c>
      <c r="N343" s="134"/>
      <c r="O343" s="140">
        <f>SUM(O338:O342)</f>
        <v>0</v>
      </c>
    </row>
    <row r="344" spans="2:15" ht="17" thickBot="1" x14ac:dyDescent="0.25">
      <c r="B344" s="128" t="s">
        <v>6</v>
      </c>
      <c r="C344" s="131"/>
      <c r="D344" s="135"/>
      <c r="E344" s="136"/>
      <c r="F344" s="135"/>
      <c r="G344" s="136"/>
      <c r="H344" s="135"/>
      <c r="I344" s="136"/>
      <c r="J344" s="135"/>
      <c r="K344" s="136"/>
      <c r="L344" s="135"/>
      <c r="M344" s="136"/>
      <c r="N344" s="135"/>
      <c r="O344" s="141"/>
    </row>
    <row r="345" spans="2:15" ht="17" thickBot="1" x14ac:dyDescent="0.25"/>
    <row r="346" spans="2:15" ht="18" customHeight="1" x14ac:dyDescent="0.2">
      <c r="B346" s="250" t="s">
        <v>165</v>
      </c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2"/>
    </row>
    <row r="347" spans="2:15" ht="26" customHeight="1" x14ac:dyDescent="0.2">
      <c r="B347" s="253" t="s">
        <v>5</v>
      </c>
      <c r="C347" s="243" t="s">
        <v>2</v>
      </c>
      <c r="D347" s="244"/>
      <c r="E347" s="245" t="s">
        <v>122</v>
      </c>
      <c r="F347" s="244"/>
      <c r="G347" s="245" t="s">
        <v>123</v>
      </c>
      <c r="H347" s="244"/>
      <c r="I347" s="245" t="s">
        <v>124</v>
      </c>
      <c r="J347" s="244"/>
      <c r="K347" s="245" t="s">
        <v>125</v>
      </c>
      <c r="L347" s="244"/>
      <c r="M347" s="245" t="s">
        <v>126</v>
      </c>
      <c r="N347" s="244"/>
      <c r="O347" s="254" t="s">
        <v>14</v>
      </c>
    </row>
    <row r="348" spans="2:15" x14ac:dyDescent="0.2">
      <c r="B348" s="142">
        <v>46295</v>
      </c>
      <c r="C348" s="247" t="s">
        <v>127</v>
      </c>
      <c r="D348" s="248"/>
      <c r="E348" s="249" t="s">
        <v>128</v>
      </c>
      <c r="F348" s="248"/>
      <c r="G348" s="249" t="s">
        <v>117</v>
      </c>
      <c r="H348" s="248"/>
      <c r="I348" s="249" t="s">
        <v>129</v>
      </c>
      <c r="J348" s="248"/>
      <c r="K348" s="249" t="s">
        <v>130</v>
      </c>
      <c r="L348" s="248"/>
      <c r="M348" s="249" t="s">
        <v>131</v>
      </c>
      <c r="N348" s="248"/>
      <c r="O348" s="150"/>
    </row>
    <row r="349" spans="2:15" x14ac:dyDescent="0.2">
      <c r="B349" s="143"/>
      <c r="C349" s="123" t="s">
        <v>0</v>
      </c>
      <c r="D349" s="132" t="s">
        <v>120</v>
      </c>
      <c r="E349" s="120" t="s">
        <v>0</v>
      </c>
      <c r="F349" s="132" t="s">
        <v>120</v>
      </c>
      <c r="G349" s="120" t="s">
        <v>0</v>
      </c>
      <c r="H349" s="132" t="s">
        <v>120</v>
      </c>
      <c r="I349" s="120" t="s">
        <v>0</v>
      </c>
      <c r="J349" s="132" t="s">
        <v>120</v>
      </c>
      <c r="K349" s="120" t="s">
        <v>0</v>
      </c>
      <c r="L349" s="132" t="s">
        <v>120</v>
      </c>
      <c r="M349" s="120" t="s">
        <v>0</v>
      </c>
      <c r="N349" s="132" t="s">
        <v>120</v>
      </c>
      <c r="O349" s="151"/>
    </row>
    <row r="350" spans="2:15" x14ac:dyDescent="0.2">
      <c r="B350" s="144" t="s">
        <v>17</v>
      </c>
      <c r="C350" s="129"/>
      <c r="D350" s="133"/>
      <c r="E350" s="121"/>
      <c r="F350" s="133"/>
      <c r="G350" s="121"/>
      <c r="H350" s="133"/>
      <c r="I350" s="121"/>
      <c r="J350" s="133"/>
      <c r="K350" s="121"/>
      <c r="L350" s="133"/>
      <c r="M350" s="121"/>
      <c r="N350" s="133"/>
      <c r="O350" s="152">
        <f>C350*D350+E350*F350+G350*H350+I350*J350+K350*L350*0.25+M350*N350*0.25</f>
        <v>0</v>
      </c>
    </row>
    <row r="351" spans="2:15" x14ac:dyDescent="0.2">
      <c r="B351" s="144" t="s">
        <v>18</v>
      </c>
      <c r="C351" s="129"/>
      <c r="D351" s="133"/>
      <c r="E351" s="121"/>
      <c r="F351" s="133"/>
      <c r="G351" s="121"/>
      <c r="H351" s="133"/>
      <c r="I351" s="121"/>
      <c r="J351" s="133"/>
      <c r="K351" s="121"/>
      <c r="L351" s="133"/>
      <c r="M351" s="121"/>
      <c r="N351" s="133"/>
      <c r="O351" s="152">
        <f>C351*D351+E351*F351+G351*H351+I351*J351+K351*L351*0.25+M351*N351*0.25</f>
        <v>0</v>
      </c>
    </row>
    <row r="352" spans="2:15" x14ac:dyDescent="0.2">
      <c r="B352" s="144" t="s">
        <v>19</v>
      </c>
      <c r="C352" s="129"/>
      <c r="D352" s="133"/>
      <c r="E352" s="121"/>
      <c r="F352" s="133"/>
      <c r="G352" s="121"/>
      <c r="H352" s="133"/>
      <c r="I352" s="121"/>
      <c r="J352" s="133"/>
      <c r="K352" s="121"/>
      <c r="L352" s="133"/>
      <c r="M352" s="121"/>
      <c r="N352" s="133"/>
      <c r="O352" s="152">
        <f>C352*D352+E352*F352+G352*H352+I352*J352+K352*L352*0.25+M352*N352*0.25</f>
        <v>0</v>
      </c>
    </row>
    <row r="353" spans="2:15" x14ac:dyDescent="0.2">
      <c r="B353" s="144" t="s">
        <v>20</v>
      </c>
      <c r="C353" s="129"/>
      <c r="D353" s="133"/>
      <c r="E353" s="121"/>
      <c r="F353" s="133"/>
      <c r="G353" s="121"/>
      <c r="H353" s="133"/>
      <c r="I353" s="121"/>
      <c r="J353" s="133"/>
      <c r="K353" s="121"/>
      <c r="L353" s="133"/>
      <c r="M353" s="121"/>
      <c r="N353" s="133"/>
      <c r="O353" s="152">
        <f>C353*D353+E353*F353+G353*H353+I353*J353+K353*L353*0.25+M353*N353*0.25</f>
        <v>0</v>
      </c>
    </row>
    <row r="354" spans="2:15" x14ac:dyDescent="0.2">
      <c r="B354" s="144" t="s">
        <v>21</v>
      </c>
      <c r="C354" s="129"/>
      <c r="D354" s="133"/>
      <c r="E354" s="121"/>
      <c r="F354" s="133"/>
      <c r="G354" s="121"/>
      <c r="H354" s="133"/>
      <c r="I354" s="121"/>
      <c r="J354" s="133"/>
      <c r="K354" s="121"/>
      <c r="L354" s="133"/>
      <c r="M354" s="121"/>
      <c r="N354" s="133"/>
      <c r="O354" s="152">
        <f>C354*D354+E354*F354+G354*H354+I354*J354+K354*L354*0.25+M354*N354*0.25</f>
        <v>0</v>
      </c>
    </row>
    <row r="355" spans="2:15" x14ac:dyDescent="0.2">
      <c r="B355" s="145" t="s">
        <v>4</v>
      </c>
      <c r="C355" s="130">
        <f>SUMPRODUCT(C350:C354,D350:D354)</f>
        <v>0</v>
      </c>
      <c r="D355" s="134"/>
      <c r="E355" s="122">
        <f>SUMPRODUCT(E350:E354,F350:F354)</f>
        <v>0</v>
      </c>
      <c r="F355" s="134"/>
      <c r="G355" s="122">
        <f>SUMPRODUCT(G350:G354,H350:H354)</f>
        <v>0</v>
      </c>
      <c r="H355" s="134"/>
      <c r="I355" s="122">
        <f>SUMPRODUCT(I350:I354,J350:J354)</f>
        <v>0</v>
      </c>
      <c r="J355" s="134"/>
      <c r="K355" s="122">
        <f>SUMPRODUCT(K350:K354,L350:L354)*0.25</f>
        <v>0</v>
      </c>
      <c r="L355" s="134"/>
      <c r="M355" s="122">
        <f>SUMPRODUCT(M350:M354,N350:N354)*0.25</f>
        <v>0</v>
      </c>
      <c r="N355" s="134"/>
      <c r="O355" s="153">
        <f>SUM(O350:O354)</f>
        <v>0</v>
      </c>
    </row>
    <row r="356" spans="2:15" ht="17" thickBot="1" x14ac:dyDescent="0.25">
      <c r="B356" s="146" t="s">
        <v>6</v>
      </c>
      <c r="C356" s="147"/>
      <c r="D356" s="148"/>
      <c r="E356" s="149"/>
      <c r="F356" s="148"/>
      <c r="G356" s="149"/>
      <c r="H356" s="148"/>
      <c r="I356" s="149"/>
      <c r="J356" s="148"/>
      <c r="K356" s="149"/>
      <c r="L356" s="148"/>
      <c r="M356" s="149"/>
      <c r="N356" s="148"/>
      <c r="O356" s="154"/>
    </row>
    <row r="357" spans="2:15" ht="17" thickBot="1" x14ac:dyDescent="0.25"/>
    <row r="358" spans="2:15" ht="18" customHeight="1" x14ac:dyDescent="0.2">
      <c r="B358" s="255" t="s">
        <v>166</v>
      </c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7"/>
    </row>
    <row r="359" spans="2:15" ht="26" customHeight="1" x14ac:dyDescent="0.2">
      <c r="B359" s="258" t="s">
        <v>5</v>
      </c>
      <c r="C359" s="243" t="s">
        <v>133</v>
      </c>
      <c r="D359" s="244"/>
      <c r="E359" s="245" t="s">
        <v>134</v>
      </c>
      <c r="F359" s="244"/>
      <c r="G359" s="245" t="s">
        <v>135</v>
      </c>
      <c r="H359" s="244"/>
      <c r="I359" s="245" t="s">
        <v>136</v>
      </c>
      <c r="J359" s="244"/>
      <c r="K359" s="259"/>
      <c r="L359" s="260"/>
      <c r="M359" s="260"/>
      <c r="N359" s="260"/>
      <c r="O359" s="261" t="s">
        <v>14</v>
      </c>
    </row>
    <row r="360" spans="2:15" x14ac:dyDescent="0.2">
      <c r="B360" s="155">
        <v>46297</v>
      </c>
      <c r="C360" s="247" t="s">
        <v>137</v>
      </c>
      <c r="D360" s="248"/>
      <c r="E360" s="249" t="s">
        <v>138</v>
      </c>
      <c r="F360" s="248"/>
      <c r="G360" s="249" t="s">
        <v>138</v>
      </c>
      <c r="H360" s="248"/>
      <c r="I360" s="249" t="s">
        <v>139</v>
      </c>
      <c r="J360" s="248"/>
      <c r="K360" s="262"/>
      <c r="L360" s="263"/>
      <c r="M360" s="263"/>
      <c r="N360" s="263"/>
      <c r="O360" s="160"/>
    </row>
    <row r="361" spans="2:15" x14ac:dyDescent="0.2">
      <c r="B361" s="156"/>
      <c r="C361" s="123" t="s">
        <v>0</v>
      </c>
      <c r="D361" s="132" t="s">
        <v>120</v>
      </c>
      <c r="E361" s="120" t="s">
        <v>0</v>
      </c>
      <c r="F361" s="132" t="s">
        <v>120</v>
      </c>
      <c r="G361" s="120" t="s">
        <v>0</v>
      </c>
      <c r="H361" s="132" t="s">
        <v>120</v>
      </c>
      <c r="I361" s="120" t="s">
        <v>0</v>
      </c>
      <c r="J361" s="132" t="s">
        <v>120</v>
      </c>
      <c r="K361" s="264"/>
      <c r="L361" s="265"/>
      <c r="M361" s="265"/>
      <c r="N361" s="265"/>
      <c r="O361" s="161"/>
    </row>
    <row r="362" spans="2:15" x14ac:dyDescent="0.2">
      <c r="B362" s="157" t="s">
        <v>17</v>
      </c>
      <c r="C362" s="129"/>
      <c r="D362" s="133"/>
      <c r="E362" s="121"/>
      <c r="F362" s="133"/>
      <c r="G362" s="121"/>
      <c r="H362" s="133"/>
      <c r="I362" s="121"/>
      <c r="J362" s="133"/>
      <c r="K362" s="266"/>
      <c r="L362" s="267"/>
      <c r="M362" s="267"/>
      <c r="N362" s="267"/>
      <c r="O362" s="162">
        <f>C362*D362+E362*F362+G362*H362+I362*J362</f>
        <v>0</v>
      </c>
    </row>
    <row r="363" spans="2:15" x14ac:dyDescent="0.2">
      <c r="B363" s="157" t="s">
        <v>18</v>
      </c>
      <c r="C363" s="129"/>
      <c r="D363" s="133"/>
      <c r="E363" s="121"/>
      <c r="F363" s="133"/>
      <c r="G363" s="121"/>
      <c r="H363" s="133"/>
      <c r="I363" s="121"/>
      <c r="J363" s="133"/>
      <c r="K363" s="266"/>
      <c r="L363" s="267"/>
      <c r="M363" s="267"/>
      <c r="N363" s="267"/>
      <c r="O363" s="162">
        <f>C363*D363+E363*F363+G363*H363+I363*J363</f>
        <v>0</v>
      </c>
    </row>
    <row r="364" spans="2:15" x14ac:dyDescent="0.2">
      <c r="B364" s="157" t="s">
        <v>19</v>
      </c>
      <c r="C364" s="129"/>
      <c r="D364" s="133"/>
      <c r="E364" s="121"/>
      <c r="F364" s="133"/>
      <c r="G364" s="121"/>
      <c r="H364" s="133"/>
      <c r="I364" s="121"/>
      <c r="J364" s="133"/>
      <c r="K364" s="266"/>
      <c r="L364" s="267"/>
      <c r="M364" s="267"/>
      <c r="N364" s="267"/>
      <c r="O364" s="162">
        <f>C364*D364+E364*F364+G364*H364+I364*J364</f>
        <v>0</v>
      </c>
    </row>
    <row r="365" spans="2:15" x14ac:dyDescent="0.2">
      <c r="B365" s="157" t="s">
        <v>20</v>
      </c>
      <c r="C365" s="129"/>
      <c r="D365" s="133"/>
      <c r="E365" s="121"/>
      <c r="F365" s="133"/>
      <c r="G365" s="121"/>
      <c r="H365" s="133"/>
      <c r="I365" s="121"/>
      <c r="J365" s="133"/>
      <c r="K365" s="266"/>
      <c r="L365" s="267"/>
      <c r="M365" s="267"/>
      <c r="N365" s="267"/>
      <c r="O365" s="162">
        <f>C365*D365+E365*F365+G365*H365+I365*J365</f>
        <v>0</v>
      </c>
    </row>
    <row r="366" spans="2:15" x14ac:dyDescent="0.2">
      <c r="B366" s="157" t="s">
        <v>21</v>
      </c>
      <c r="C366" s="129"/>
      <c r="D366" s="133"/>
      <c r="E366" s="121"/>
      <c r="F366" s="133"/>
      <c r="G366" s="121"/>
      <c r="H366" s="133"/>
      <c r="I366" s="121"/>
      <c r="J366" s="133"/>
      <c r="K366" s="266"/>
      <c r="L366" s="267"/>
      <c r="M366" s="267"/>
      <c r="N366" s="267"/>
      <c r="O366" s="162">
        <f>C366*D366+E366*F366+G366*H366+I366*J366</f>
        <v>0</v>
      </c>
    </row>
    <row r="367" spans="2:15" x14ac:dyDescent="0.2">
      <c r="B367" s="158" t="s">
        <v>4</v>
      </c>
      <c r="C367" s="130">
        <f>SUMPRODUCT(C362:C366,D362:D366)</f>
        <v>0</v>
      </c>
      <c r="D367" s="134"/>
      <c r="E367" s="122">
        <f>SUMPRODUCT(E362:E366,F362:F366)</f>
        <v>0</v>
      </c>
      <c r="F367" s="134"/>
      <c r="G367" s="122">
        <f>SUMPRODUCT(G362:G366,H362:H366)</f>
        <v>0</v>
      </c>
      <c r="H367" s="134"/>
      <c r="I367" s="122">
        <f>SUMPRODUCT(I362:I366,J362:J366)</f>
        <v>0</v>
      </c>
      <c r="J367" s="134"/>
      <c r="K367" s="268"/>
      <c r="L367" s="269"/>
      <c r="M367" s="269"/>
      <c r="N367" s="269"/>
      <c r="O367" s="163">
        <f>SUM(O362:O366)</f>
        <v>0</v>
      </c>
    </row>
    <row r="368" spans="2:15" ht="17" thickBot="1" x14ac:dyDescent="0.25">
      <c r="B368" s="159" t="s">
        <v>6</v>
      </c>
      <c r="C368" s="165"/>
      <c r="D368" s="166"/>
      <c r="E368" s="167"/>
      <c r="F368" s="166"/>
      <c r="G368" s="167"/>
      <c r="H368" s="166"/>
      <c r="I368" s="167"/>
      <c r="J368" s="166"/>
      <c r="K368" s="270"/>
      <c r="L368" s="271"/>
      <c r="M368" s="271"/>
      <c r="N368" s="271"/>
      <c r="O368" s="164"/>
    </row>
  </sheetData>
  <mergeCells count="570">
    <mergeCell ref="I368:J368"/>
    <mergeCell ref="K359:L359"/>
    <mergeCell ref="K360:L360"/>
    <mergeCell ref="K368:L368"/>
    <mergeCell ref="M359:N359"/>
    <mergeCell ref="M360:N360"/>
    <mergeCell ref="M368:N368"/>
    <mergeCell ref="C368:D368"/>
    <mergeCell ref="E359:F359"/>
    <mergeCell ref="E360:F360"/>
    <mergeCell ref="E368:F368"/>
    <mergeCell ref="G359:H359"/>
    <mergeCell ref="G360:H360"/>
    <mergeCell ref="G368:H368"/>
    <mergeCell ref="M347:N347"/>
    <mergeCell ref="M348:N348"/>
    <mergeCell ref="M356:N356"/>
    <mergeCell ref="B358:O358"/>
    <mergeCell ref="C359:D359"/>
    <mergeCell ref="C360:D360"/>
    <mergeCell ref="I359:J359"/>
    <mergeCell ref="I360:J360"/>
    <mergeCell ref="I347:J347"/>
    <mergeCell ref="I348:J348"/>
    <mergeCell ref="I356:J356"/>
    <mergeCell ref="K347:L347"/>
    <mergeCell ref="K348:L348"/>
    <mergeCell ref="K356:L356"/>
    <mergeCell ref="B346:O346"/>
    <mergeCell ref="C347:D347"/>
    <mergeCell ref="C348:D348"/>
    <mergeCell ref="C356:D356"/>
    <mergeCell ref="E347:F347"/>
    <mergeCell ref="E348:F348"/>
    <mergeCell ref="E356:F356"/>
    <mergeCell ref="G347:H347"/>
    <mergeCell ref="G348:H348"/>
    <mergeCell ref="G356:H356"/>
    <mergeCell ref="I344:J344"/>
    <mergeCell ref="K335:L335"/>
    <mergeCell ref="K336:L336"/>
    <mergeCell ref="K344:L344"/>
    <mergeCell ref="M335:N335"/>
    <mergeCell ref="M336:N336"/>
    <mergeCell ref="M344:N344"/>
    <mergeCell ref="C344:D344"/>
    <mergeCell ref="E335:F335"/>
    <mergeCell ref="E336:F336"/>
    <mergeCell ref="E344:F344"/>
    <mergeCell ref="G335:H335"/>
    <mergeCell ref="G336:H336"/>
    <mergeCell ref="G344:H344"/>
    <mergeCell ref="M323:N323"/>
    <mergeCell ref="M324:N324"/>
    <mergeCell ref="M332:N332"/>
    <mergeCell ref="B334:O334"/>
    <mergeCell ref="C335:D335"/>
    <mergeCell ref="C336:D336"/>
    <mergeCell ref="I335:J335"/>
    <mergeCell ref="I336:J336"/>
    <mergeCell ref="I323:J323"/>
    <mergeCell ref="I324:J324"/>
    <mergeCell ref="I332:J332"/>
    <mergeCell ref="K323:L323"/>
    <mergeCell ref="K324:L324"/>
    <mergeCell ref="K332:L332"/>
    <mergeCell ref="B322:O322"/>
    <mergeCell ref="C323:D323"/>
    <mergeCell ref="C324:D324"/>
    <mergeCell ref="C332:D332"/>
    <mergeCell ref="E323:F323"/>
    <mergeCell ref="E324:F324"/>
    <mergeCell ref="E332:F332"/>
    <mergeCell ref="G323:H323"/>
    <mergeCell ref="G324:H324"/>
    <mergeCell ref="G332:H332"/>
    <mergeCell ref="I320:J320"/>
    <mergeCell ref="K311:L311"/>
    <mergeCell ref="K312:L312"/>
    <mergeCell ref="K320:L320"/>
    <mergeCell ref="M311:N311"/>
    <mergeCell ref="M312:N312"/>
    <mergeCell ref="M320:N320"/>
    <mergeCell ref="C320:D320"/>
    <mergeCell ref="E311:F311"/>
    <mergeCell ref="E312:F312"/>
    <mergeCell ref="E320:F320"/>
    <mergeCell ref="G311:H311"/>
    <mergeCell ref="G312:H312"/>
    <mergeCell ref="G320:H320"/>
    <mergeCell ref="M299:N299"/>
    <mergeCell ref="M300:N300"/>
    <mergeCell ref="M308:N308"/>
    <mergeCell ref="B310:O310"/>
    <mergeCell ref="C311:D311"/>
    <mergeCell ref="C312:D312"/>
    <mergeCell ref="I311:J311"/>
    <mergeCell ref="I312:J312"/>
    <mergeCell ref="I299:J299"/>
    <mergeCell ref="I300:J300"/>
    <mergeCell ref="I308:J308"/>
    <mergeCell ref="K299:L299"/>
    <mergeCell ref="K300:L300"/>
    <mergeCell ref="K308:L308"/>
    <mergeCell ref="B298:O298"/>
    <mergeCell ref="C299:D299"/>
    <mergeCell ref="C300:D300"/>
    <mergeCell ref="C308:D308"/>
    <mergeCell ref="E299:F299"/>
    <mergeCell ref="E300:F300"/>
    <mergeCell ref="E308:F308"/>
    <mergeCell ref="G299:H299"/>
    <mergeCell ref="G300:H300"/>
    <mergeCell ref="G308:H308"/>
    <mergeCell ref="I296:J296"/>
    <mergeCell ref="K287:L287"/>
    <mergeCell ref="K288:L288"/>
    <mergeCell ref="K296:L296"/>
    <mergeCell ref="M287:N287"/>
    <mergeCell ref="M288:N288"/>
    <mergeCell ref="M296:N296"/>
    <mergeCell ref="C296:D296"/>
    <mergeCell ref="E287:F287"/>
    <mergeCell ref="E288:F288"/>
    <mergeCell ref="E296:F296"/>
    <mergeCell ref="G287:H287"/>
    <mergeCell ref="G288:H288"/>
    <mergeCell ref="G296:H296"/>
    <mergeCell ref="M275:N275"/>
    <mergeCell ref="M276:N276"/>
    <mergeCell ref="M284:N284"/>
    <mergeCell ref="B286:O286"/>
    <mergeCell ref="C287:D287"/>
    <mergeCell ref="C288:D288"/>
    <mergeCell ref="I287:J287"/>
    <mergeCell ref="I288:J288"/>
    <mergeCell ref="I275:J275"/>
    <mergeCell ref="I276:J276"/>
    <mergeCell ref="I284:J284"/>
    <mergeCell ref="K275:L275"/>
    <mergeCell ref="K276:L276"/>
    <mergeCell ref="K284:L284"/>
    <mergeCell ref="B274:O274"/>
    <mergeCell ref="C275:D275"/>
    <mergeCell ref="C276:D276"/>
    <mergeCell ref="C284:D284"/>
    <mergeCell ref="E275:F275"/>
    <mergeCell ref="E276:F276"/>
    <mergeCell ref="E284:F284"/>
    <mergeCell ref="G275:H275"/>
    <mergeCell ref="G276:H276"/>
    <mergeCell ref="G284:H284"/>
    <mergeCell ref="I272:J272"/>
    <mergeCell ref="K263:L263"/>
    <mergeCell ref="K264:L264"/>
    <mergeCell ref="K272:L272"/>
    <mergeCell ref="M263:N263"/>
    <mergeCell ref="M264:N264"/>
    <mergeCell ref="M272:N272"/>
    <mergeCell ref="C272:D272"/>
    <mergeCell ref="E263:F263"/>
    <mergeCell ref="E264:F264"/>
    <mergeCell ref="E272:F272"/>
    <mergeCell ref="G263:H263"/>
    <mergeCell ref="G264:H264"/>
    <mergeCell ref="G272:H272"/>
    <mergeCell ref="M251:N251"/>
    <mergeCell ref="M252:N252"/>
    <mergeCell ref="M260:N260"/>
    <mergeCell ref="B262:O262"/>
    <mergeCell ref="C263:D263"/>
    <mergeCell ref="C264:D264"/>
    <mergeCell ref="I263:J263"/>
    <mergeCell ref="I264:J264"/>
    <mergeCell ref="I251:J251"/>
    <mergeCell ref="I252:J252"/>
    <mergeCell ref="I260:J260"/>
    <mergeCell ref="K251:L251"/>
    <mergeCell ref="K252:L252"/>
    <mergeCell ref="K260:L260"/>
    <mergeCell ref="B250:O250"/>
    <mergeCell ref="C251:D251"/>
    <mergeCell ref="C252:D252"/>
    <mergeCell ref="C260:D260"/>
    <mergeCell ref="E251:F251"/>
    <mergeCell ref="E252:F252"/>
    <mergeCell ref="E260:F260"/>
    <mergeCell ref="G251:H251"/>
    <mergeCell ref="G252:H252"/>
    <mergeCell ref="G260:H260"/>
    <mergeCell ref="I248:J248"/>
    <mergeCell ref="K239:L239"/>
    <mergeCell ref="K240:L240"/>
    <mergeCell ref="K248:L248"/>
    <mergeCell ref="M239:N239"/>
    <mergeCell ref="M240:N240"/>
    <mergeCell ref="M248:N248"/>
    <mergeCell ref="C248:D248"/>
    <mergeCell ref="E239:F239"/>
    <mergeCell ref="E240:F240"/>
    <mergeCell ref="E248:F248"/>
    <mergeCell ref="G239:H239"/>
    <mergeCell ref="G240:H240"/>
    <mergeCell ref="G248:H248"/>
    <mergeCell ref="M227:N227"/>
    <mergeCell ref="M228:N228"/>
    <mergeCell ref="M236:N236"/>
    <mergeCell ref="B238:O238"/>
    <mergeCell ref="C239:D239"/>
    <mergeCell ref="C240:D240"/>
    <mergeCell ref="I239:J239"/>
    <mergeCell ref="I240:J240"/>
    <mergeCell ref="I227:J227"/>
    <mergeCell ref="I228:J228"/>
    <mergeCell ref="I236:J236"/>
    <mergeCell ref="K227:L227"/>
    <mergeCell ref="K228:L228"/>
    <mergeCell ref="K236:L236"/>
    <mergeCell ref="B226:O226"/>
    <mergeCell ref="C227:D227"/>
    <mergeCell ref="C228:D228"/>
    <mergeCell ref="C236:D236"/>
    <mergeCell ref="E227:F227"/>
    <mergeCell ref="E228:F228"/>
    <mergeCell ref="E236:F236"/>
    <mergeCell ref="G227:H227"/>
    <mergeCell ref="G228:H228"/>
    <mergeCell ref="G236:H236"/>
    <mergeCell ref="I224:J224"/>
    <mergeCell ref="K215:L215"/>
    <mergeCell ref="K216:L216"/>
    <mergeCell ref="K224:L224"/>
    <mergeCell ref="M215:N215"/>
    <mergeCell ref="M216:N216"/>
    <mergeCell ref="M224:N224"/>
    <mergeCell ref="C224:D224"/>
    <mergeCell ref="E215:F215"/>
    <mergeCell ref="E216:F216"/>
    <mergeCell ref="E224:F224"/>
    <mergeCell ref="G215:H215"/>
    <mergeCell ref="G216:H216"/>
    <mergeCell ref="G224:H224"/>
    <mergeCell ref="M203:N203"/>
    <mergeCell ref="M204:N204"/>
    <mergeCell ref="M212:N212"/>
    <mergeCell ref="B214:O214"/>
    <mergeCell ref="C215:D215"/>
    <mergeCell ref="C216:D216"/>
    <mergeCell ref="I215:J215"/>
    <mergeCell ref="I216:J216"/>
    <mergeCell ref="I203:J203"/>
    <mergeCell ref="I204:J204"/>
    <mergeCell ref="I212:J212"/>
    <mergeCell ref="K203:L203"/>
    <mergeCell ref="K204:L204"/>
    <mergeCell ref="K212:L212"/>
    <mergeCell ref="B202:O202"/>
    <mergeCell ref="C203:D203"/>
    <mergeCell ref="C204:D204"/>
    <mergeCell ref="C212:D212"/>
    <mergeCell ref="E203:F203"/>
    <mergeCell ref="E204:F204"/>
    <mergeCell ref="E212:F212"/>
    <mergeCell ref="G203:H203"/>
    <mergeCell ref="G204:H204"/>
    <mergeCell ref="G212:H212"/>
    <mergeCell ref="I200:J200"/>
    <mergeCell ref="K191:L191"/>
    <mergeCell ref="K192:L192"/>
    <mergeCell ref="K200:L200"/>
    <mergeCell ref="M191:N191"/>
    <mergeCell ref="M192:N192"/>
    <mergeCell ref="M200:N200"/>
    <mergeCell ref="C200:D200"/>
    <mergeCell ref="E191:F191"/>
    <mergeCell ref="E192:F192"/>
    <mergeCell ref="E200:F200"/>
    <mergeCell ref="G191:H191"/>
    <mergeCell ref="G192:H192"/>
    <mergeCell ref="G200:H200"/>
    <mergeCell ref="M179:N179"/>
    <mergeCell ref="M180:N180"/>
    <mergeCell ref="M188:N188"/>
    <mergeCell ref="B190:O190"/>
    <mergeCell ref="C191:D191"/>
    <mergeCell ref="C192:D192"/>
    <mergeCell ref="I191:J191"/>
    <mergeCell ref="I192:J192"/>
    <mergeCell ref="I179:J179"/>
    <mergeCell ref="I180:J180"/>
    <mergeCell ref="I188:J188"/>
    <mergeCell ref="K179:L179"/>
    <mergeCell ref="K180:L180"/>
    <mergeCell ref="K188:L188"/>
    <mergeCell ref="B178:O178"/>
    <mergeCell ref="C179:D179"/>
    <mergeCell ref="C180:D180"/>
    <mergeCell ref="C188:D188"/>
    <mergeCell ref="E179:F179"/>
    <mergeCell ref="E180:F180"/>
    <mergeCell ref="E188:F188"/>
    <mergeCell ref="G179:H179"/>
    <mergeCell ref="G180:H180"/>
    <mergeCell ref="G188:H188"/>
    <mergeCell ref="I176:J176"/>
    <mergeCell ref="K167:L167"/>
    <mergeCell ref="K168:L168"/>
    <mergeCell ref="K176:L176"/>
    <mergeCell ref="M167:N167"/>
    <mergeCell ref="M168:N168"/>
    <mergeCell ref="M176:N176"/>
    <mergeCell ref="C176:D176"/>
    <mergeCell ref="E167:F167"/>
    <mergeCell ref="E168:F168"/>
    <mergeCell ref="E176:F176"/>
    <mergeCell ref="G167:H167"/>
    <mergeCell ref="G168:H168"/>
    <mergeCell ref="G176:H176"/>
    <mergeCell ref="M155:N155"/>
    <mergeCell ref="M156:N156"/>
    <mergeCell ref="M164:N164"/>
    <mergeCell ref="B166:O166"/>
    <mergeCell ref="C167:D167"/>
    <mergeCell ref="C168:D168"/>
    <mergeCell ref="I167:J167"/>
    <mergeCell ref="I168:J168"/>
    <mergeCell ref="I155:J155"/>
    <mergeCell ref="I156:J156"/>
    <mergeCell ref="I164:J164"/>
    <mergeCell ref="K155:L155"/>
    <mergeCell ref="K156:L156"/>
    <mergeCell ref="K164:L164"/>
    <mergeCell ref="B154:O154"/>
    <mergeCell ref="C155:D155"/>
    <mergeCell ref="C156:D156"/>
    <mergeCell ref="C164:D164"/>
    <mergeCell ref="E155:F155"/>
    <mergeCell ref="E156:F156"/>
    <mergeCell ref="E164:F164"/>
    <mergeCell ref="G155:H155"/>
    <mergeCell ref="G156:H156"/>
    <mergeCell ref="G164:H164"/>
    <mergeCell ref="I152:J152"/>
    <mergeCell ref="K143:L143"/>
    <mergeCell ref="K144:L144"/>
    <mergeCell ref="K152:L152"/>
    <mergeCell ref="M143:N143"/>
    <mergeCell ref="M144:N144"/>
    <mergeCell ref="M152:N152"/>
    <mergeCell ref="C152:D152"/>
    <mergeCell ref="E143:F143"/>
    <mergeCell ref="E144:F144"/>
    <mergeCell ref="E152:F152"/>
    <mergeCell ref="G143:H143"/>
    <mergeCell ref="G144:H144"/>
    <mergeCell ref="G152:H152"/>
    <mergeCell ref="M131:N131"/>
    <mergeCell ref="M132:N132"/>
    <mergeCell ref="M140:N140"/>
    <mergeCell ref="B142:O142"/>
    <mergeCell ref="C143:D143"/>
    <mergeCell ref="C144:D144"/>
    <mergeCell ref="I143:J143"/>
    <mergeCell ref="I144:J144"/>
    <mergeCell ref="I131:J131"/>
    <mergeCell ref="I132:J132"/>
    <mergeCell ref="I140:J140"/>
    <mergeCell ref="K131:L131"/>
    <mergeCell ref="K132:L132"/>
    <mergeCell ref="K140:L140"/>
    <mergeCell ref="B130:O130"/>
    <mergeCell ref="C131:D131"/>
    <mergeCell ref="C132:D132"/>
    <mergeCell ref="C140:D140"/>
    <mergeCell ref="E131:F131"/>
    <mergeCell ref="E132:F132"/>
    <mergeCell ref="E140:F140"/>
    <mergeCell ref="G131:H131"/>
    <mergeCell ref="G132:H132"/>
    <mergeCell ref="G140:H140"/>
    <mergeCell ref="I128:J128"/>
    <mergeCell ref="K119:L119"/>
    <mergeCell ref="K120:L120"/>
    <mergeCell ref="K128:L128"/>
    <mergeCell ref="M119:N119"/>
    <mergeCell ref="M120:N120"/>
    <mergeCell ref="M128:N128"/>
    <mergeCell ref="C128:D128"/>
    <mergeCell ref="E119:F119"/>
    <mergeCell ref="E120:F120"/>
    <mergeCell ref="E128:F128"/>
    <mergeCell ref="G119:H119"/>
    <mergeCell ref="G120:H120"/>
    <mergeCell ref="G128:H128"/>
    <mergeCell ref="M107:N107"/>
    <mergeCell ref="M108:N108"/>
    <mergeCell ref="M116:N116"/>
    <mergeCell ref="B118:O118"/>
    <mergeCell ref="C119:D119"/>
    <mergeCell ref="C120:D120"/>
    <mergeCell ref="I119:J119"/>
    <mergeCell ref="I120:J120"/>
    <mergeCell ref="I107:J107"/>
    <mergeCell ref="I108:J108"/>
    <mergeCell ref="I116:J116"/>
    <mergeCell ref="K107:L107"/>
    <mergeCell ref="K108:L108"/>
    <mergeCell ref="K116:L116"/>
    <mergeCell ref="B106:O106"/>
    <mergeCell ref="C107:D107"/>
    <mergeCell ref="C108:D108"/>
    <mergeCell ref="C116:D116"/>
    <mergeCell ref="E107:F107"/>
    <mergeCell ref="E108:F108"/>
    <mergeCell ref="E116:F116"/>
    <mergeCell ref="G107:H107"/>
    <mergeCell ref="G108:H108"/>
    <mergeCell ref="G116:H116"/>
    <mergeCell ref="I104:J104"/>
    <mergeCell ref="K95:L95"/>
    <mergeCell ref="K96:L96"/>
    <mergeCell ref="K104:L104"/>
    <mergeCell ref="M95:N95"/>
    <mergeCell ref="M96:N96"/>
    <mergeCell ref="M104:N104"/>
    <mergeCell ref="C104:D104"/>
    <mergeCell ref="E95:F95"/>
    <mergeCell ref="E96:F96"/>
    <mergeCell ref="E104:F104"/>
    <mergeCell ref="G95:H95"/>
    <mergeCell ref="G96:H96"/>
    <mergeCell ref="G104:H104"/>
    <mergeCell ref="M83:N83"/>
    <mergeCell ref="M84:N84"/>
    <mergeCell ref="M92:N92"/>
    <mergeCell ref="B94:O94"/>
    <mergeCell ref="C95:D95"/>
    <mergeCell ref="C96:D96"/>
    <mergeCell ref="I95:J95"/>
    <mergeCell ref="I96:J96"/>
    <mergeCell ref="I83:J83"/>
    <mergeCell ref="I84:J84"/>
    <mergeCell ref="I92:J92"/>
    <mergeCell ref="K83:L83"/>
    <mergeCell ref="K84:L84"/>
    <mergeCell ref="K92:L92"/>
    <mergeCell ref="B82:O82"/>
    <mergeCell ref="C83:D83"/>
    <mergeCell ref="C84:D84"/>
    <mergeCell ref="C92:D92"/>
    <mergeCell ref="E83:F83"/>
    <mergeCell ref="E84:F84"/>
    <mergeCell ref="E92:F92"/>
    <mergeCell ref="G83:H83"/>
    <mergeCell ref="G84:H84"/>
    <mergeCell ref="G92:H92"/>
    <mergeCell ref="I80:J80"/>
    <mergeCell ref="K71:L71"/>
    <mergeCell ref="K72:L72"/>
    <mergeCell ref="K80:L80"/>
    <mergeCell ref="M71:N71"/>
    <mergeCell ref="M72:N72"/>
    <mergeCell ref="M80:N80"/>
    <mergeCell ref="C80:D80"/>
    <mergeCell ref="E71:F71"/>
    <mergeCell ref="E72:F72"/>
    <mergeCell ref="E80:F80"/>
    <mergeCell ref="G71:H71"/>
    <mergeCell ref="G72:H72"/>
    <mergeCell ref="G80:H80"/>
    <mergeCell ref="M59:N59"/>
    <mergeCell ref="M60:N60"/>
    <mergeCell ref="M68:N68"/>
    <mergeCell ref="B70:O70"/>
    <mergeCell ref="C71:D71"/>
    <mergeCell ref="C72:D72"/>
    <mergeCell ref="I71:J71"/>
    <mergeCell ref="I72:J72"/>
    <mergeCell ref="I59:J59"/>
    <mergeCell ref="I60:J60"/>
    <mergeCell ref="I68:J68"/>
    <mergeCell ref="K59:L59"/>
    <mergeCell ref="K60:L60"/>
    <mergeCell ref="K68:L68"/>
    <mergeCell ref="B58:O58"/>
    <mergeCell ref="C59:D59"/>
    <mergeCell ref="C60:D60"/>
    <mergeCell ref="C68:D68"/>
    <mergeCell ref="E59:F59"/>
    <mergeCell ref="E60:F60"/>
    <mergeCell ref="E68:F68"/>
    <mergeCell ref="G59:H59"/>
    <mergeCell ref="G60:H60"/>
    <mergeCell ref="G68:H68"/>
    <mergeCell ref="I56:J56"/>
    <mergeCell ref="K47:L47"/>
    <mergeCell ref="K48:L48"/>
    <mergeCell ref="K56:L56"/>
    <mergeCell ref="M47:N47"/>
    <mergeCell ref="M48:N48"/>
    <mergeCell ref="M56:N56"/>
    <mergeCell ref="C56:D56"/>
    <mergeCell ref="E47:F47"/>
    <mergeCell ref="E48:F48"/>
    <mergeCell ref="E56:F56"/>
    <mergeCell ref="G47:H47"/>
    <mergeCell ref="G48:H48"/>
    <mergeCell ref="G56:H56"/>
    <mergeCell ref="M35:N35"/>
    <mergeCell ref="M36:N36"/>
    <mergeCell ref="M44:N44"/>
    <mergeCell ref="B46:O46"/>
    <mergeCell ref="C47:D47"/>
    <mergeCell ref="C48:D48"/>
    <mergeCell ref="I47:J47"/>
    <mergeCell ref="I48:J48"/>
    <mergeCell ref="I35:J35"/>
    <mergeCell ref="I36:J36"/>
    <mergeCell ref="I44:J44"/>
    <mergeCell ref="K35:L35"/>
    <mergeCell ref="K36:L36"/>
    <mergeCell ref="K44:L44"/>
    <mergeCell ref="B34:O34"/>
    <mergeCell ref="C35:D35"/>
    <mergeCell ref="C36:D36"/>
    <mergeCell ref="C44:D44"/>
    <mergeCell ref="E35:F35"/>
    <mergeCell ref="E36:F36"/>
    <mergeCell ref="E44:F44"/>
    <mergeCell ref="G35:H35"/>
    <mergeCell ref="G36:H36"/>
    <mergeCell ref="G44:H44"/>
    <mergeCell ref="I32:J32"/>
    <mergeCell ref="K23:L23"/>
    <mergeCell ref="K24:L24"/>
    <mergeCell ref="K32:L32"/>
    <mergeCell ref="M23:N23"/>
    <mergeCell ref="M24:N24"/>
    <mergeCell ref="M32:N32"/>
    <mergeCell ref="C32:D32"/>
    <mergeCell ref="E23:F23"/>
    <mergeCell ref="E24:F24"/>
    <mergeCell ref="E32:F32"/>
    <mergeCell ref="G23:H23"/>
    <mergeCell ref="G24:H24"/>
    <mergeCell ref="G32:H32"/>
    <mergeCell ref="M11:N11"/>
    <mergeCell ref="M12:N12"/>
    <mergeCell ref="M20:N20"/>
    <mergeCell ref="B22:O22"/>
    <mergeCell ref="C23:D23"/>
    <mergeCell ref="C24:D24"/>
    <mergeCell ref="I23:J23"/>
    <mergeCell ref="I24:J24"/>
    <mergeCell ref="I11:J11"/>
    <mergeCell ref="I12:J12"/>
    <mergeCell ref="I20:J20"/>
    <mergeCell ref="K11:L11"/>
    <mergeCell ref="K12:L12"/>
    <mergeCell ref="K20:L20"/>
    <mergeCell ref="B10:O10"/>
    <mergeCell ref="C11:D11"/>
    <mergeCell ref="C12:D12"/>
    <mergeCell ref="C20:D20"/>
    <mergeCell ref="E11:F11"/>
    <mergeCell ref="E12:F12"/>
    <mergeCell ref="E20:F20"/>
    <mergeCell ref="G11:H11"/>
    <mergeCell ref="G12:H12"/>
    <mergeCell ref="G20:H20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DF32-0913-8645-8DAF-3EB31C923A6D}">
  <sheetPr>
    <tabColor rgb="FFBFBFBF"/>
  </sheetPr>
  <dimension ref="B2:Y107"/>
  <sheetViews>
    <sheetView topLeftCell="A29" workbookViewId="0">
      <selection activeCell="T58" sqref="T58"/>
    </sheetView>
  </sheetViews>
  <sheetFormatPr baseColWidth="10" defaultColWidth="10.83203125" defaultRowHeight="16" x14ac:dyDescent="0.2"/>
  <cols>
    <col min="1" max="1" width="0.83203125" style="1" customWidth="1"/>
    <col min="2" max="2" width="11.5" style="1" customWidth="1"/>
    <col min="3" max="14" width="6.6640625" style="1" customWidth="1"/>
    <col min="15" max="15" width="7.33203125" style="1" customWidth="1"/>
    <col min="16" max="16" width="5.5" style="1" bestFit="1" customWidth="1"/>
    <col min="17" max="20" width="6.6640625" style="1" customWidth="1"/>
    <col min="21" max="21" width="7.83203125" style="1" customWidth="1"/>
    <col min="22" max="22" width="7.1640625" style="1" customWidth="1"/>
    <col min="23" max="23" width="6.33203125" style="1" customWidth="1"/>
    <col min="24" max="24" width="6" style="1" customWidth="1"/>
    <col min="25" max="25" width="8.33203125" style="1" customWidth="1"/>
    <col min="26" max="16384" width="10.83203125" style="1"/>
  </cols>
  <sheetData>
    <row r="2" spans="2:25" s="40" customFormat="1" ht="29.25" x14ac:dyDescent="0.4">
      <c r="B2" s="38" t="s">
        <v>58</v>
      </c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2:25" ht="15.75" thickBot="1" x14ac:dyDescent="0.25">
      <c r="J3" s="41"/>
    </row>
    <row r="4" spans="2:25" x14ac:dyDescent="0.2">
      <c r="B4" s="3" t="s">
        <v>5</v>
      </c>
      <c r="C4" s="47" t="s">
        <v>29</v>
      </c>
      <c r="D4" s="48"/>
      <c r="E4" s="48" t="s">
        <v>59</v>
      </c>
      <c r="F4" s="49"/>
      <c r="G4" s="47" t="s">
        <v>2</v>
      </c>
      <c r="H4" s="48"/>
      <c r="I4" s="48" t="s">
        <v>3</v>
      </c>
      <c r="J4" s="49"/>
      <c r="K4" s="47" t="s">
        <v>39</v>
      </c>
      <c r="L4" s="48"/>
      <c r="M4" s="48" t="s">
        <v>40</v>
      </c>
      <c r="N4" s="48"/>
      <c r="O4" s="50" t="s">
        <v>51</v>
      </c>
      <c r="P4" s="42"/>
      <c r="Q4" s="42" t="s">
        <v>22</v>
      </c>
      <c r="R4" s="42"/>
      <c r="S4" s="50" t="s">
        <v>41</v>
      </c>
      <c r="T4" s="42"/>
      <c r="U4" s="42" t="s">
        <v>55</v>
      </c>
      <c r="V4" s="42"/>
      <c r="W4" s="43" t="s">
        <v>42</v>
      </c>
      <c r="X4" s="44"/>
      <c r="Y4" s="6" t="s">
        <v>14</v>
      </c>
    </row>
    <row r="5" spans="2:25" ht="15" x14ac:dyDescent="0.2">
      <c r="B5" s="5">
        <v>45780</v>
      </c>
      <c r="C5" s="25" t="s">
        <v>0</v>
      </c>
      <c r="D5" s="22" t="s">
        <v>1</v>
      </c>
      <c r="E5" s="22" t="s">
        <v>0</v>
      </c>
      <c r="F5" s="26" t="s">
        <v>1</v>
      </c>
      <c r="G5" s="25" t="s">
        <v>0</v>
      </c>
      <c r="H5" s="22" t="s">
        <v>1</v>
      </c>
      <c r="I5" s="22" t="s">
        <v>0</v>
      </c>
      <c r="J5" s="26" t="s">
        <v>1</v>
      </c>
      <c r="K5" s="25" t="s">
        <v>0</v>
      </c>
      <c r="L5" s="22" t="s">
        <v>1</v>
      </c>
      <c r="M5" s="22" t="s">
        <v>0</v>
      </c>
      <c r="N5" s="22" t="s">
        <v>1</v>
      </c>
      <c r="O5" s="23" t="s">
        <v>0</v>
      </c>
      <c r="P5" s="24" t="s">
        <v>1</v>
      </c>
      <c r="Q5" s="22" t="s">
        <v>0</v>
      </c>
      <c r="R5" s="22" t="s">
        <v>1</v>
      </c>
      <c r="S5" s="21" t="s">
        <v>0</v>
      </c>
      <c r="T5" s="22" t="s">
        <v>1</v>
      </c>
      <c r="U5" s="24" t="s">
        <v>0</v>
      </c>
      <c r="V5" s="24" t="s">
        <v>1</v>
      </c>
      <c r="W5" s="21" t="s">
        <v>0</v>
      </c>
      <c r="X5" s="27" t="s">
        <v>1</v>
      </c>
      <c r="Y5" s="28"/>
    </row>
    <row r="6" spans="2:25" ht="15" x14ac:dyDescent="0.2">
      <c r="B6" s="4" t="s">
        <v>17</v>
      </c>
      <c r="C6" s="2">
        <v>20</v>
      </c>
      <c r="G6" s="2">
        <v>40</v>
      </c>
      <c r="H6" s="1">
        <v>5</v>
      </c>
      <c r="I6" s="1">
        <v>16</v>
      </c>
      <c r="K6" s="2"/>
      <c r="O6" s="10"/>
      <c r="S6" s="10"/>
      <c r="U6" s="1">
        <v>16</v>
      </c>
      <c r="W6" s="10"/>
      <c r="X6" s="11"/>
      <c r="Y6" s="7">
        <f>C6*D6+E6*F6+G6*H6+I6*J6+K6*L6+M6*N6+O6*P6+Q6*R6+S6*T6*0.25+U6*V6+W6*X6*0.25</f>
        <v>200</v>
      </c>
    </row>
    <row r="7" spans="2:25" ht="15" x14ac:dyDescent="0.2">
      <c r="B7" s="4" t="s">
        <v>18</v>
      </c>
      <c r="C7" s="2">
        <v>40</v>
      </c>
      <c r="D7" s="1">
        <v>6</v>
      </c>
      <c r="E7" s="1">
        <v>40</v>
      </c>
      <c r="F7" s="1">
        <v>10</v>
      </c>
      <c r="G7" s="2">
        <v>60</v>
      </c>
      <c r="H7" s="1">
        <v>6</v>
      </c>
      <c r="I7" s="1">
        <v>31</v>
      </c>
      <c r="J7" s="1">
        <v>6</v>
      </c>
      <c r="K7" s="2">
        <v>20</v>
      </c>
      <c r="M7" s="1">
        <v>60</v>
      </c>
      <c r="O7" s="10">
        <v>55</v>
      </c>
      <c r="P7" s="1">
        <v>6</v>
      </c>
      <c r="Q7" s="1">
        <v>31</v>
      </c>
      <c r="R7" s="1">
        <v>6</v>
      </c>
      <c r="S7" s="10">
        <v>35</v>
      </c>
      <c r="T7" s="1">
        <v>50</v>
      </c>
      <c r="U7" s="1">
        <v>25</v>
      </c>
      <c r="W7" s="10">
        <v>38</v>
      </c>
      <c r="X7" s="11"/>
      <c r="Y7" s="7">
        <f>C7*D7+E7*F7+G7*H7+I7*J7+K7*L7+M7*N7+O7*P7+Q7*R7+S7*T7*0.25+U7*V7+W7*X7*0.25</f>
        <v>2139.5</v>
      </c>
    </row>
    <row r="8" spans="2:25" ht="15" x14ac:dyDescent="0.2">
      <c r="B8" s="4" t="s">
        <v>19</v>
      </c>
      <c r="C8" s="2">
        <v>40</v>
      </c>
      <c r="D8" s="1">
        <v>6</v>
      </c>
      <c r="E8" s="1">
        <v>40</v>
      </c>
      <c r="F8" s="1">
        <v>10</v>
      </c>
      <c r="G8" s="2">
        <v>60</v>
      </c>
      <c r="H8" s="1">
        <v>6</v>
      </c>
      <c r="I8" s="1">
        <v>31</v>
      </c>
      <c r="J8" s="1">
        <v>6</v>
      </c>
      <c r="K8" s="2">
        <v>20</v>
      </c>
      <c r="M8" s="1">
        <v>50</v>
      </c>
      <c r="O8" s="10">
        <v>55</v>
      </c>
      <c r="P8" s="1">
        <v>6</v>
      </c>
      <c r="Q8" s="1">
        <v>41</v>
      </c>
      <c r="R8" s="1">
        <v>6</v>
      </c>
      <c r="S8" s="10">
        <v>35</v>
      </c>
      <c r="T8" s="1">
        <v>50</v>
      </c>
      <c r="U8" s="1">
        <v>25</v>
      </c>
      <c r="W8" s="10">
        <v>38</v>
      </c>
      <c r="X8" s="11"/>
      <c r="Y8" s="7">
        <f>C8*D8+E8*F8+G8*H8+I8*J8+K8*L8+M8*N8+O8*P8+Q8*R8+S8*T8*0.25+U8*V8+W8*X8*0.25</f>
        <v>2199.5</v>
      </c>
    </row>
    <row r="9" spans="2:25" ht="15" x14ac:dyDescent="0.2">
      <c r="B9" s="4" t="s">
        <v>20</v>
      </c>
      <c r="C9" s="2">
        <v>40</v>
      </c>
      <c r="D9" s="1">
        <v>6</v>
      </c>
      <c r="E9" s="1">
        <v>40</v>
      </c>
      <c r="F9" s="1">
        <v>10</v>
      </c>
      <c r="G9" s="2">
        <v>60</v>
      </c>
      <c r="H9" s="1">
        <v>6</v>
      </c>
      <c r="I9" s="1">
        <v>31</v>
      </c>
      <c r="J9" s="1">
        <v>6</v>
      </c>
      <c r="K9" s="2">
        <v>20</v>
      </c>
      <c r="M9" s="1">
        <v>50</v>
      </c>
      <c r="O9" s="10">
        <v>55</v>
      </c>
      <c r="P9" s="1">
        <v>6</v>
      </c>
      <c r="Q9" s="1">
        <v>41</v>
      </c>
      <c r="R9" s="1">
        <v>6</v>
      </c>
      <c r="S9" s="10">
        <v>35</v>
      </c>
      <c r="T9" s="1">
        <v>50</v>
      </c>
      <c r="U9" s="1">
        <v>25</v>
      </c>
      <c r="W9" s="10">
        <v>38</v>
      </c>
      <c r="X9" s="11"/>
      <c r="Y9" s="7">
        <f>C9*D9+E9*F9+G9*H9+I9*J9+K9*L9+M9*N9+O9*P9+Q9*R9+S9*T9*0.25+U9*V9+W9*X9*0.25</f>
        <v>2199.5</v>
      </c>
    </row>
    <row r="10" spans="2:25" ht="15.75" thickBot="1" x14ac:dyDescent="0.25">
      <c r="B10" s="4" t="s">
        <v>21</v>
      </c>
      <c r="C10" s="2">
        <v>40</v>
      </c>
      <c r="D10" s="1">
        <v>6</v>
      </c>
      <c r="E10" s="1">
        <v>40</v>
      </c>
      <c r="F10" s="1">
        <v>10</v>
      </c>
      <c r="G10" s="2">
        <v>60</v>
      </c>
      <c r="H10" s="1">
        <v>6</v>
      </c>
      <c r="I10" s="1">
        <v>31</v>
      </c>
      <c r="J10" s="1">
        <v>6</v>
      </c>
      <c r="K10" s="2">
        <v>20</v>
      </c>
      <c r="M10" s="1">
        <v>50</v>
      </c>
      <c r="O10" s="15">
        <v>55</v>
      </c>
      <c r="P10" s="16">
        <v>6</v>
      </c>
      <c r="Q10" s="16">
        <v>41</v>
      </c>
      <c r="R10" s="16">
        <v>6</v>
      </c>
      <c r="S10" s="15">
        <v>35</v>
      </c>
      <c r="T10" s="16">
        <v>50</v>
      </c>
      <c r="U10" s="16">
        <v>25</v>
      </c>
      <c r="V10" s="16"/>
      <c r="W10" s="15">
        <v>38</v>
      </c>
      <c r="X10" s="17"/>
      <c r="Y10" s="7">
        <f>C10*D10+E10*F10+G10*H10+I10*J10+K10*L10+M10*N10+O10*P10+Q10*R10+S10*T10*0.25+U10*V10+W10*X10*0.25</f>
        <v>2199.5</v>
      </c>
    </row>
    <row r="11" spans="2:25" ht="15.75" thickBot="1" x14ac:dyDescent="0.25">
      <c r="B11" s="9" t="s">
        <v>4</v>
      </c>
      <c r="C11" s="20">
        <f>SUMPRODUCT(C6:C10,D6:D10)</f>
        <v>960</v>
      </c>
      <c r="D11" s="14"/>
      <c r="E11" s="14">
        <f>SUMPRODUCT(E6:E10,F6:F10)</f>
        <v>1600</v>
      </c>
      <c r="F11" s="14"/>
      <c r="G11" s="14">
        <f>SUMPRODUCT(G6:G10,H6:H10)</f>
        <v>1640</v>
      </c>
      <c r="H11" s="14"/>
      <c r="I11" s="14">
        <f>SUMPRODUCT(I6:I10,J6:J10)</f>
        <v>744</v>
      </c>
      <c r="J11" s="14"/>
      <c r="K11" s="14">
        <f>SUMPRODUCT(K6:K10,L6:L10)</f>
        <v>0</v>
      </c>
      <c r="L11" s="14"/>
      <c r="M11" s="14">
        <f>SUMPRODUCT(M6:M10,N6:N10)</f>
        <v>0</v>
      </c>
      <c r="N11" s="14"/>
      <c r="O11" s="18">
        <f>SUMPRODUCT(O6:O10,P6:P10)*0.5</f>
        <v>660</v>
      </c>
      <c r="P11" s="18"/>
      <c r="Q11" s="18">
        <f>SUMPRODUCT(Q6:Q10,R6:R10)</f>
        <v>924</v>
      </c>
      <c r="R11" s="18"/>
      <c r="S11" s="18">
        <f>SUMPRODUCT(S6:S10,T6:T10)*0.1</f>
        <v>700</v>
      </c>
      <c r="T11" s="18"/>
      <c r="U11" s="18">
        <f>SUMPRODUCT(U6:U10,V6:V10)</f>
        <v>0</v>
      </c>
      <c r="V11" s="18"/>
      <c r="W11" s="18">
        <f>SUMPRODUCT(W6:W10,X6:X10)*0.25</f>
        <v>0</v>
      </c>
      <c r="X11" s="18"/>
      <c r="Y11" s="13">
        <f>SUM(Y6:Y10)</f>
        <v>8938</v>
      </c>
    </row>
    <row r="12" spans="2:25" ht="15.75" thickBot="1" x14ac:dyDescent="0.25">
      <c r="B12" s="8" t="s">
        <v>6</v>
      </c>
      <c r="C12" s="45"/>
      <c r="D12" s="46"/>
      <c r="E12" s="45" t="s">
        <v>60</v>
      </c>
      <c r="F12" s="46"/>
      <c r="G12" s="45"/>
      <c r="H12" s="46"/>
      <c r="I12" s="45"/>
      <c r="J12" s="46"/>
      <c r="K12" s="45"/>
      <c r="L12" s="46"/>
      <c r="M12" s="45"/>
      <c r="N12" s="46"/>
      <c r="O12" s="45"/>
      <c r="P12" s="46"/>
      <c r="Q12" s="45"/>
      <c r="R12" s="46"/>
      <c r="S12" s="45"/>
      <c r="T12" s="46"/>
      <c r="U12" s="45"/>
      <c r="V12" s="46"/>
      <c r="W12" s="45"/>
      <c r="X12" s="46"/>
      <c r="Y12" s="19"/>
    </row>
    <row r="13" spans="2:25" ht="15.75" thickBot="1" x14ac:dyDescent="0.25"/>
    <row r="14" spans="2:25" x14ac:dyDescent="0.2">
      <c r="B14" s="3" t="s">
        <v>5</v>
      </c>
      <c r="C14" s="47" t="s">
        <v>29</v>
      </c>
      <c r="D14" s="48"/>
      <c r="E14" s="48" t="s">
        <v>59</v>
      </c>
      <c r="F14" s="49"/>
      <c r="G14" s="47" t="s">
        <v>2</v>
      </c>
      <c r="H14" s="48"/>
      <c r="I14" s="48" t="s">
        <v>3</v>
      </c>
      <c r="J14" s="49"/>
      <c r="K14" s="47" t="s">
        <v>39</v>
      </c>
      <c r="L14" s="48"/>
      <c r="M14" s="48" t="s">
        <v>40</v>
      </c>
      <c r="N14" s="48"/>
      <c r="O14" s="50" t="s">
        <v>51</v>
      </c>
      <c r="P14" s="42"/>
      <c r="Q14" s="42" t="s">
        <v>22</v>
      </c>
      <c r="R14" s="42"/>
      <c r="S14" s="50" t="s">
        <v>41</v>
      </c>
      <c r="T14" s="42"/>
      <c r="U14" s="42" t="s">
        <v>55</v>
      </c>
      <c r="V14" s="42"/>
      <c r="W14" s="43" t="s">
        <v>42</v>
      </c>
      <c r="X14" s="44"/>
      <c r="Y14" s="6" t="s">
        <v>14</v>
      </c>
    </row>
    <row r="15" spans="2:25" ht="15" x14ac:dyDescent="0.2">
      <c r="B15" s="5">
        <v>45783</v>
      </c>
      <c r="C15" s="25" t="s">
        <v>0</v>
      </c>
      <c r="D15" s="22" t="s">
        <v>1</v>
      </c>
      <c r="E15" s="22" t="s">
        <v>0</v>
      </c>
      <c r="F15" s="26" t="s">
        <v>1</v>
      </c>
      <c r="G15" s="25" t="s">
        <v>0</v>
      </c>
      <c r="H15" s="22" t="s">
        <v>1</v>
      </c>
      <c r="I15" s="22" t="s">
        <v>0</v>
      </c>
      <c r="J15" s="26" t="s">
        <v>1</v>
      </c>
      <c r="K15" s="25" t="s">
        <v>0</v>
      </c>
      <c r="L15" s="22" t="s">
        <v>1</v>
      </c>
      <c r="M15" s="22" t="s">
        <v>0</v>
      </c>
      <c r="N15" s="22" t="s">
        <v>1</v>
      </c>
      <c r="O15" s="23" t="s">
        <v>0</v>
      </c>
      <c r="P15" s="24" t="s">
        <v>1</v>
      </c>
      <c r="Q15" s="22" t="s">
        <v>0</v>
      </c>
      <c r="R15" s="22" t="s">
        <v>1</v>
      </c>
      <c r="S15" s="21" t="s">
        <v>0</v>
      </c>
      <c r="T15" s="22" t="s">
        <v>1</v>
      </c>
      <c r="U15" s="24" t="s">
        <v>0</v>
      </c>
      <c r="V15" s="24" t="s">
        <v>1</v>
      </c>
      <c r="W15" s="21" t="s">
        <v>0</v>
      </c>
      <c r="X15" s="27" t="s">
        <v>1</v>
      </c>
      <c r="Y15" s="28"/>
    </row>
    <row r="16" spans="2:25" ht="15" x14ac:dyDescent="0.2">
      <c r="B16" s="4" t="s">
        <v>17</v>
      </c>
      <c r="C16" s="2">
        <v>20</v>
      </c>
      <c r="D16" s="1">
        <v>5</v>
      </c>
      <c r="G16" s="2">
        <v>40</v>
      </c>
      <c r="H16" s="1">
        <v>6</v>
      </c>
      <c r="I16" s="1">
        <v>16</v>
      </c>
      <c r="K16" s="2"/>
      <c r="O16" s="10"/>
      <c r="S16" s="10"/>
      <c r="U16" s="1">
        <v>16</v>
      </c>
      <c r="W16" s="10"/>
      <c r="X16" s="11"/>
      <c r="Y16" s="7">
        <f>C16*D16+E16*F16+G16*H16+I16*J16+K16*L16+M16*N16+O16*P16+Q16*R16+S16*T16*0.25+U16*V16+W16*X16*0.25</f>
        <v>340</v>
      </c>
    </row>
    <row r="17" spans="2:25" ht="15" x14ac:dyDescent="0.2">
      <c r="B17" s="4" t="s">
        <v>18</v>
      </c>
      <c r="C17" s="2">
        <v>40</v>
      </c>
      <c r="D17" s="1">
        <v>6</v>
      </c>
      <c r="E17" s="1">
        <v>40</v>
      </c>
      <c r="F17" s="1">
        <v>10</v>
      </c>
      <c r="G17" s="2">
        <v>60</v>
      </c>
      <c r="H17" s="1">
        <v>6</v>
      </c>
      <c r="I17" s="1">
        <v>31</v>
      </c>
      <c r="J17" s="1">
        <v>6</v>
      </c>
      <c r="K17" s="2">
        <v>20</v>
      </c>
      <c r="M17" s="1">
        <v>60</v>
      </c>
      <c r="O17" s="10">
        <v>55</v>
      </c>
      <c r="P17" s="1">
        <v>6</v>
      </c>
      <c r="Q17" s="1">
        <v>41</v>
      </c>
      <c r="R17" s="1">
        <v>6</v>
      </c>
      <c r="S17" s="10">
        <v>35</v>
      </c>
      <c r="T17" s="1">
        <v>50</v>
      </c>
      <c r="U17" s="1">
        <v>25</v>
      </c>
      <c r="W17" s="10">
        <v>38</v>
      </c>
      <c r="X17" s="11">
        <v>20</v>
      </c>
      <c r="Y17" s="7">
        <f>C17*D17+E17*F17+G17*H17+I17*J17+K17*L17+M17*N17+O17*P17+Q17*R17+S17*T17*0.25+U17*V17+W17*X17*0.25</f>
        <v>2389.5</v>
      </c>
    </row>
    <row r="18" spans="2:25" ht="15" x14ac:dyDescent="0.2">
      <c r="B18" s="4" t="s">
        <v>19</v>
      </c>
      <c r="C18" s="2">
        <v>40</v>
      </c>
      <c r="D18" s="1">
        <v>6</v>
      </c>
      <c r="E18" s="1">
        <v>40</v>
      </c>
      <c r="F18" s="1">
        <v>10</v>
      </c>
      <c r="G18" s="2">
        <v>60</v>
      </c>
      <c r="H18" s="1">
        <v>6</v>
      </c>
      <c r="I18" s="1">
        <v>31</v>
      </c>
      <c r="J18" s="1">
        <v>6</v>
      </c>
      <c r="K18" s="2">
        <v>20</v>
      </c>
      <c r="M18" s="1">
        <v>50</v>
      </c>
      <c r="O18" s="10">
        <v>55</v>
      </c>
      <c r="P18" s="1">
        <v>6</v>
      </c>
      <c r="Q18" s="1">
        <v>41</v>
      </c>
      <c r="R18" s="1">
        <v>6</v>
      </c>
      <c r="S18" s="10">
        <v>35</v>
      </c>
      <c r="T18" s="1">
        <v>50</v>
      </c>
      <c r="U18" s="1">
        <v>25</v>
      </c>
      <c r="W18" s="10">
        <v>38</v>
      </c>
      <c r="X18" s="11">
        <v>20</v>
      </c>
      <c r="Y18" s="7">
        <f>C18*D18+E18*F18+G18*H18+I18*J18+K18*L18+M18*N18+O18*P18+Q18*R18+S18*T18*0.25+U18*V18+W18*X18*0.25</f>
        <v>2389.5</v>
      </c>
    </row>
    <row r="19" spans="2:25" ht="15" x14ac:dyDescent="0.2">
      <c r="B19" s="4" t="s">
        <v>20</v>
      </c>
      <c r="C19" s="2">
        <v>40</v>
      </c>
      <c r="D19" s="1">
        <v>6</v>
      </c>
      <c r="E19" s="1">
        <v>40</v>
      </c>
      <c r="F19" s="1">
        <v>10</v>
      </c>
      <c r="G19" s="2">
        <v>60</v>
      </c>
      <c r="H19" s="1">
        <v>6</v>
      </c>
      <c r="I19" s="1">
        <v>31</v>
      </c>
      <c r="J19" s="1">
        <v>6</v>
      </c>
      <c r="K19" s="2">
        <v>20</v>
      </c>
      <c r="M19" s="1">
        <v>50</v>
      </c>
      <c r="O19" s="10">
        <v>55</v>
      </c>
      <c r="P19" s="1">
        <v>6</v>
      </c>
      <c r="Q19" s="1">
        <v>41</v>
      </c>
      <c r="R19" s="1">
        <v>6</v>
      </c>
      <c r="S19" s="10">
        <v>35</v>
      </c>
      <c r="T19" s="1">
        <v>50</v>
      </c>
      <c r="U19" s="1">
        <v>25</v>
      </c>
      <c r="W19" s="10">
        <v>38</v>
      </c>
      <c r="X19" s="11">
        <v>20</v>
      </c>
      <c r="Y19" s="7">
        <f>C19*D19+E19*F19+G19*H19+I19*J19+K19*L19+M19*N19+O19*P19+Q19*R19+S19*T19*0.25+U19*V19+W19*X19*0.25</f>
        <v>2389.5</v>
      </c>
    </row>
    <row r="20" spans="2:25" ht="15.75" thickBot="1" x14ac:dyDescent="0.25">
      <c r="B20" s="4" t="s">
        <v>21</v>
      </c>
      <c r="C20" s="2">
        <v>40</v>
      </c>
      <c r="D20" s="1">
        <v>6</v>
      </c>
      <c r="E20" s="1">
        <v>40</v>
      </c>
      <c r="F20" s="1">
        <v>5</v>
      </c>
      <c r="G20" s="2">
        <v>60</v>
      </c>
      <c r="H20" s="1">
        <v>6</v>
      </c>
      <c r="I20" s="1">
        <v>31</v>
      </c>
      <c r="J20" s="1">
        <v>6</v>
      </c>
      <c r="K20" s="2">
        <v>20</v>
      </c>
      <c r="M20" s="1">
        <v>50</v>
      </c>
      <c r="O20" s="15">
        <v>55</v>
      </c>
      <c r="P20" s="16">
        <v>6</v>
      </c>
      <c r="Q20" s="16">
        <v>41</v>
      </c>
      <c r="R20" s="16">
        <v>6</v>
      </c>
      <c r="S20" s="15">
        <v>35</v>
      </c>
      <c r="T20" s="16">
        <v>50</v>
      </c>
      <c r="U20" s="16">
        <v>25</v>
      </c>
      <c r="V20" s="16"/>
      <c r="W20" s="15">
        <v>38</v>
      </c>
      <c r="X20" s="17">
        <v>20</v>
      </c>
      <c r="Y20" s="7">
        <f>C20*D20+E20*F20+G20*H20+I20*J20+K20*L20+M20*N20+O20*P20+Q20*R20+S20*T20*0.25+U20*V20+W20*X20*0.25</f>
        <v>2189.5</v>
      </c>
    </row>
    <row r="21" spans="2:25" ht="15.75" thickBot="1" x14ac:dyDescent="0.25">
      <c r="B21" s="9" t="s">
        <v>4</v>
      </c>
      <c r="C21" s="20">
        <f>SUMPRODUCT(C16:C20,D16:D20)</f>
        <v>1060</v>
      </c>
      <c r="D21" s="14"/>
      <c r="E21" s="14">
        <f>SUMPRODUCT(E16:E20,F16:F20)</f>
        <v>1400</v>
      </c>
      <c r="F21" s="14"/>
      <c r="G21" s="14">
        <f>SUMPRODUCT(G16:G20,H16:H20)</f>
        <v>1680</v>
      </c>
      <c r="H21" s="14"/>
      <c r="I21" s="14">
        <f>SUMPRODUCT(I16:I20,J16:J20)</f>
        <v>744</v>
      </c>
      <c r="J21" s="14"/>
      <c r="K21" s="14">
        <f>SUMPRODUCT(K16:K20,L16:L20)</f>
        <v>0</v>
      </c>
      <c r="L21" s="14"/>
      <c r="M21" s="14">
        <f>SUMPRODUCT(M16:M20,N16:N20)</f>
        <v>0</v>
      </c>
      <c r="N21" s="14"/>
      <c r="O21" s="18">
        <f>SUMPRODUCT(O16:O20,P16:P20)*0.5</f>
        <v>660</v>
      </c>
      <c r="P21" s="18"/>
      <c r="Q21" s="18">
        <f>SUMPRODUCT(Q16:Q20,R16:R20)</f>
        <v>984</v>
      </c>
      <c r="R21" s="18"/>
      <c r="S21" s="18">
        <f>SUMPRODUCT(S16:S20,T16:T20)*0.1</f>
        <v>700</v>
      </c>
      <c r="T21" s="18"/>
      <c r="U21" s="18">
        <f>SUMPRODUCT(U16:U20,V16:V20)</f>
        <v>0</v>
      </c>
      <c r="V21" s="18"/>
      <c r="W21" s="18">
        <f>SUMPRODUCT(W16:W20,X16:X20)*0.25</f>
        <v>760</v>
      </c>
      <c r="X21" s="18"/>
      <c r="Y21" s="13">
        <f>SUM(Y16:Y20)</f>
        <v>9698</v>
      </c>
    </row>
    <row r="22" spans="2:25" ht="15.75" thickBot="1" x14ac:dyDescent="0.25">
      <c r="B22" s="8" t="s">
        <v>6</v>
      </c>
      <c r="C22" s="45">
        <v>8</v>
      </c>
      <c r="D22" s="46"/>
      <c r="E22" s="45">
        <v>4</v>
      </c>
      <c r="F22" s="46"/>
      <c r="G22" s="45">
        <v>6</v>
      </c>
      <c r="H22" s="46"/>
      <c r="I22" s="45">
        <v>1</v>
      </c>
      <c r="J22" s="46"/>
      <c r="K22" s="45"/>
      <c r="L22" s="46"/>
      <c r="M22" s="45"/>
      <c r="N22" s="46"/>
      <c r="O22" s="45">
        <v>2</v>
      </c>
      <c r="P22" s="46"/>
      <c r="Q22" s="45">
        <v>5</v>
      </c>
      <c r="R22" s="46"/>
      <c r="S22" s="45">
        <v>3</v>
      </c>
      <c r="T22" s="46"/>
      <c r="U22" s="45"/>
      <c r="V22" s="46"/>
      <c r="W22" s="45">
        <v>7</v>
      </c>
      <c r="X22" s="46"/>
      <c r="Y22" s="19"/>
    </row>
    <row r="23" spans="2:25" ht="15.75" thickBot="1" x14ac:dyDescent="0.25"/>
    <row r="24" spans="2:25" x14ac:dyDescent="0.2">
      <c r="B24" s="3" t="s">
        <v>5</v>
      </c>
      <c r="C24" s="47" t="s">
        <v>29</v>
      </c>
      <c r="D24" s="48"/>
      <c r="E24" s="48" t="s">
        <v>59</v>
      </c>
      <c r="F24" s="49"/>
      <c r="G24" s="47" t="s">
        <v>2</v>
      </c>
      <c r="H24" s="48"/>
      <c r="I24" s="48" t="s">
        <v>3</v>
      </c>
      <c r="J24" s="49"/>
      <c r="K24" s="47" t="s">
        <v>39</v>
      </c>
      <c r="L24" s="48"/>
      <c r="M24" s="48" t="s">
        <v>40</v>
      </c>
      <c r="N24" s="48"/>
      <c r="O24" s="50" t="s">
        <v>51</v>
      </c>
      <c r="P24" s="42"/>
      <c r="Q24" s="42" t="s">
        <v>22</v>
      </c>
      <c r="R24" s="42"/>
      <c r="S24" s="50" t="s">
        <v>41</v>
      </c>
      <c r="T24" s="42"/>
      <c r="U24" s="42" t="s">
        <v>55</v>
      </c>
      <c r="V24" s="42"/>
      <c r="W24" s="43" t="s">
        <v>42</v>
      </c>
      <c r="X24" s="44"/>
      <c r="Y24" s="6" t="s">
        <v>14</v>
      </c>
    </row>
    <row r="25" spans="2:25" ht="15" x14ac:dyDescent="0.2">
      <c r="B25" s="5">
        <v>45785</v>
      </c>
      <c r="C25" s="25" t="s">
        <v>0</v>
      </c>
      <c r="D25" s="22" t="s">
        <v>1</v>
      </c>
      <c r="E25" s="22" t="s">
        <v>0</v>
      </c>
      <c r="F25" s="26" t="s">
        <v>1</v>
      </c>
      <c r="G25" s="25" t="s">
        <v>0</v>
      </c>
      <c r="H25" s="22" t="s">
        <v>1</v>
      </c>
      <c r="I25" s="22" t="s">
        <v>0</v>
      </c>
      <c r="J25" s="26" t="s">
        <v>1</v>
      </c>
      <c r="K25" s="25" t="s">
        <v>0</v>
      </c>
      <c r="L25" s="22" t="s">
        <v>1</v>
      </c>
      <c r="M25" s="22" t="s">
        <v>0</v>
      </c>
      <c r="N25" s="22" t="s">
        <v>1</v>
      </c>
      <c r="O25" s="23" t="s">
        <v>0</v>
      </c>
      <c r="P25" s="24" t="s">
        <v>1</v>
      </c>
      <c r="Q25" s="22" t="s">
        <v>0</v>
      </c>
      <c r="R25" s="22" t="s">
        <v>1</v>
      </c>
      <c r="S25" s="21" t="s">
        <v>0</v>
      </c>
      <c r="T25" s="22" t="s">
        <v>1</v>
      </c>
      <c r="U25" s="24" t="s">
        <v>0</v>
      </c>
      <c r="V25" s="24" t="s">
        <v>1</v>
      </c>
      <c r="W25" s="21" t="s">
        <v>0</v>
      </c>
      <c r="X25" s="27" t="s">
        <v>1</v>
      </c>
      <c r="Y25" s="28"/>
    </row>
    <row r="26" spans="2:25" ht="15" x14ac:dyDescent="0.2">
      <c r="B26" s="4" t="s">
        <v>17</v>
      </c>
      <c r="C26" s="2">
        <v>20</v>
      </c>
      <c r="G26" s="2">
        <v>40</v>
      </c>
      <c r="I26" s="1">
        <v>16</v>
      </c>
      <c r="K26" s="2"/>
      <c r="O26" s="10"/>
      <c r="S26" s="10"/>
      <c r="U26" s="1">
        <v>16</v>
      </c>
      <c r="W26" s="10"/>
      <c r="X26" s="11"/>
      <c r="Y26" s="7">
        <f>C26*D26+E26*F26+G26*H26+I26*J26+K26*L26+M26*N26+O26*P26+Q26*R26+S26*T26*0.25+U26*V26+W26*X26*0.25</f>
        <v>0</v>
      </c>
    </row>
    <row r="27" spans="2:25" ht="15" x14ac:dyDescent="0.2">
      <c r="B27" s="4" t="s">
        <v>18</v>
      </c>
      <c r="C27" s="2">
        <v>40</v>
      </c>
      <c r="D27" s="1">
        <v>6</v>
      </c>
      <c r="E27" s="1">
        <v>40</v>
      </c>
      <c r="F27" s="1">
        <v>12</v>
      </c>
      <c r="G27" s="2">
        <v>60</v>
      </c>
      <c r="H27" s="1">
        <v>6</v>
      </c>
      <c r="I27" s="1">
        <v>31</v>
      </c>
      <c r="J27" s="1">
        <v>3</v>
      </c>
      <c r="K27" s="2">
        <v>20</v>
      </c>
      <c r="M27" s="1">
        <v>60</v>
      </c>
      <c r="O27" s="10">
        <v>55</v>
      </c>
      <c r="P27" s="1">
        <v>6</v>
      </c>
      <c r="Q27" s="1">
        <v>41</v>
      </c>
      <c r="S27" s="10">
        <v>35</v>
      </c>
      <c r="T27" s="1">
        <v>50</v>
      </c>
      <c r="U27" s="1">
        <v>25</v>
      </c>
      <c r="W27" s="10">
        <v>38</v>
      </c>
      <c r="X27" s="11">
        <v>20</v>
      </c>
      <c r="Y27" s="7">
        <f>C27*D27+E27*F27+G27*H27+I27*J27+K27*L27+M27*N27+O27*P27+Q27*R27+S27*T27*0.25+U27*V27+W27*X27*0.25</f>
        <v>2130.5</v>
      </c>
    </row>
    <row r="28" spans="2:25" ht="15" x14ac:dyDescent="0.2">
      <c r="B28" s="4" t="s">
        <v>19</v>
      </c>
      <c r="C28" s="2">
        <v>50</v>
      </c>
      <c r="D28" s="1">
        <v>6</v>
      </c>
      <c r="E28" s="1">
        <v>40</v>
      </c>
      <c r="F28" s="1">
        <v>12</v>
      </c>
      <c r="G28" s="2">
        <v>60</v>
      </c>
      <c r="H28" s="1">
        <v>6</v>
      </c>
      <c r="I28" s="1">
        <v>31</v>
      </c>
      <c r="K28" s="2">
        <v>20</v>
      </c>
      <c r="M28" s="1">
        <v>50</v>
      </c>
      <c r="O28" s="10">
        <v>55</v>
      </c>
      <c r="P28" s="1">
        <v>6</v>
      </c>
      <c r="Q28" s="1">
        <v>41</v>
      </c>
      <c r="S28" s="10">
        <v>35</v>
      </c>
      <c r="T28" s="1">
        <v>50</v>
      </c>
      <c r="U28" s="1">
        <v>25</v>
      </c>
      <c r="W28" s="10">
        <v>38</v>
      </c>
      <c r="X28" s="11">
        <v>20</v>
      </c>
      <c r="Y28" s="7">
        <f>C28*D28+E28*F28+G28*H28+I28*J28+K28*L28+M28*N28+O28*P28+Q28*R28+S28*T28*0.25+U28*V28+W28*X28*0.25</f>
        <v>2097.5</v>
      </c>
    </row>
    <row r="29" spans="2:25" ht="15" x14ac:dyDescent="0.2">
      <c r="B29" s="4" t="s">
        <v>20</v>
      </c>
      <c r="C29" s="2">
        <v>50</v>
      </c>
      <c r="D29" s="1">
        <v>6</v>
      </c>
      <c r="E29" s="1">
        <v>40</v>
      </c>
      <c r="F29" s="1">
        <v>12</v>
      </c>
      <c r="G29" s="2">
        <v>60</v>
      </c>
      <c r="H29" s="1">
        <v>6</v>
      </c>
      <c r="I29" s="1">
        <v>31</v>
      </c>
      <c r="K29" s="2">
        <v>20</v>
      </c>
      <c r="M29" s="1">
        <v>50</v>
      </c>
      <c r="O29" s="10">
        <v>55</v>
      </c>
      <c r="P29" s="1">
        <v>6</v>
      </c>
      <c r="Q29" s="1">
        <v>41</v>
      </c>
      <c r="S29" s="10">
        <v>35</v>
      </c>
      <c r="T29" s="1">
        <v>50</v>
      </c>
      <c r="U29" s="1">
        <v>25</v>
      </c>
      <c r="W29" s="10">
        <v>38</v>
      </c>
      <c r="X29" s="11">
        <v>20</v>
      </c>
      <c r="Y29" s="7">
        <f>C29*D29+E29*F29+G29*H29+I29*J29+K29*L29+M29*N29+O29*P29+Q29*R29+S29*T29*0.25+U29*V29+W29*X29*0.25</f>
        <v>2097.5</v>
      </c>
    </row>
    <row r="30" spans="2:25" ht="15.75" thickBot="1" x14ac:dyDescent="0.25">
      <c r="B30" s="4" t="s">
        <v>21</v>
      </c>
      <c r="C30" s="2">
        <v>50</v>
      </c>
      <c r="D30" s="1">
        <v>6</v>
      </c>
      <c r="E30" s="1">
        <v>40</v>
      </c>
      <c r="F30" s="1">
        <v>10</v>
      </c>
      <c r="G30" s="2">
        <v>60</v>
      </c>
      <c r="H30" s="1">
        <v>6</v>
      </c>
      <c r="I30" s="1">
        <v>31</v>
      </c>
      <c r="K30" s="2">
        <v>20</v>
      </c>
      <c r="M30" s="1">
        <v>50</v>
      </c>
      <c r="O30" s="15">
        <v>55</v>
      </c>
      <c r="P30" s="16">
        <v>6</v>
      </c>
      <c r="Q30" s="16">
        <v>41</v>
      </c>
      <c r="R30" s="16"/>
      <c r="S30" s="15">
        <v>35</v>
      </c>
      <c r="T30" s="16">
        <v>50</v>
      </c>
      <c r="U30" s="16">
        <v>25</v>
      </c>
      <c r="V30" s="16"/>
      <c r="W30" s="15">
        <v>38</v>
      </c>
      <c r="X30" s="17">
        <v>20</v>
      </c>
      <c r="Y30" s="7">
        <f>C30*D30+E30*F30+G30*H30+I30*J30+K30*L30+M30*N30+O30*P30+Q30*R30+S30*T30*0.25+U30*V30+W30*X30*0.25</f>
        <v>2017.5</v>
      </c>
    </row>
    <row r="31" spans="2:25" ht="15.75" thickBot="1" x14ac:dyDescent="0.25">
      <c r="B31" s="9" t="s">
        <v>4</v>
      </c>
      <c r="C31" s="20">
        <f>SUMPRODUCT(C26:C30,D26:D30)</f>
        <v>1140</v>
      </c>
      <c r="D31" s="14"/>
      <c r="E31" s="14">
        <f>SUMPRODUCT(E26:E30,F26:F30)</f>
        <v>1840</v>
      </c>
      <c r="F31" s="14"/>
      <c r="G31" s="14">
        <f>SUMPRODUCT(G26:G30,H26:H30)</f>
        <v>1440</v>
      </c>
      <c r="H31" s="14"/>
      <c r="I31" s="14">
        <f>SUMPRODUCT(I26:I30,J26:J30)</f>
        <v>93</v>
      </c>
      <c r="J31" s="14"/>
      <c r="K31" s="14">
        <f>SUMPRODUCT(K26:K30,L26:L30)</f>
        <v>0</v>
      </c>
      <c r="L31" s="14"/>
      <c r="M31" s="14">
        <f>SUMPRODUCT(M26:M30,N26:N30)</f>
        <v>0</v>
      </c>
      <c r="N31" s="14"/>
      <c r="O31" s="18">
        <f>SUMPRODUCT(O26:O30,P26:P30)*0.5</f>
        <v>660</v>
      </c>
      <c r="P31" s="18"/>
      <c r="Q31" s="18">
        <f>SUMPRODUCT(Q26:Q30,R26:R30)</f>
        <v>0</v>
      </c>
      <c r="R31" s="18"/>
      <c r="S31" s="18">
        <f>SUMPRODUCT(S26:S30,T26:T30)*0.1</f>
        <v>700</v>
      </c>
      <c r="T31" s="18"/>
      <c r="U31" s="18">
        <f>SUMPRODUCT(U26:U30,V26:V30)</f>
        <v>0</v>
      </c>
      <c r="V31" s="18"/>
      <c r="W31" s="18">
        <f>SUMPRODUCT(W26:W30,X26:X30)*0.25</f>
        <v>760</v>
      </c>
      <c r="X31" s="18"/>
      <c r="Y31" s="13">
        <f>SUM(Y26:Y30)</f>
        <v>8343</v>
      </c>
    </row>
    <row r="32" spans="2:25" ht="15.75" thickBot="1" x14ac:dyDescent="0.25">
      <c r="B32" s="8" t="s">
        <v>6</v>
      </c>
      <c r="C32" s="45">
        <v>3</v>
      </c>
      <c r="D32" s="46"/>
      <c r="E32" s="45">
        <v>1</v>
      </c>
      <c r="F32" s="46"/>
      <c r="G32" s="45">
        <v>5</v>
      </c>
      <c r="H32" s="46"/>
      <c r="I32" s="45"/>
      <c r="J32" s="46"/>
      <c r="K32" s="45"/>
      <c r="L32" s="46"/>
      <c r="M32" s="45"/>
      <c r="N32" s="46"/>
      <c r="O32" s="45">
        <v>6</v>
      </c>
      <c r="P32" s="46"/>
      <c r="Q32" s="45"/>
      <c r="R32" s="46"/>
      <c r="S32" s="45">
        <v>2</v>
      </c>
      <c r="T32" s="46"/>
      <c r="U32" s="45"/>
      <c r="V32" s="46"/>
      <c r="W32" s="45">
        <v>4</v>
      </c>
      <c r="X32" s="46"/>
      <c r="Y32" s="19"/>
    </row>
    <row r="33" spans="2:25" ht="15.75" thickBot="1" x14ac:dyDescent="0.25"/>
    <row r="34" spans="2:25" ht="15" customHeight="1" x14ac:dyDescent="0.2">
      <c r="B34" s="3" t="s">
        <v>5</v>
      </c>
      <c r="C34" s="47" t="s">
        <v>29</v>
      </c>
      <c r="D34" s="48"/>
      <c r="E34" s="48" t="s">
        <v>59</v>
      </c>
      <c r="F34" s="49"/>
      <c r="G34" s="47" t="s">
        <v>2</v>
      </c>
      <c r="H34" s="48"/>
      <c r="I34" s="48" t="s">
        <v>3</v>
      </c>
      <c r="J34" s="49"/>
      <c r="K34" s="47" t="s">
        <v>39</v>
      </c>
      <c r="L34" s="48"/>
      <c r="M34" s="48" t="s">
        <v>40</v>
      </c>
      <c r="N34" s="48"/>
      <c r="O34" s="50" t="s">
        <v>51</v>
      </c>
      <c r="P34" s="42"/>
      <c r="Q34" s="42" t="s">
        <v>22</v>
      </c>
      <c r="R34" s="42"/>
      <c r="S34" s="50" t="s">
        <v>41</v>
      </c>
      <c r="T34" s="42"/>
      <c r="U34" s="42" t="s">
        <v>55</v>
      </c>
      <c r="V34" s="42"/>
      <c r="W34" s="43" t="s">
        <v>42</v>
      </c>
      <c r="X34" s="44"/>
      <c r="Y34" s="6" t="s">
        <v>14</v>
      </c>
    </row>
    <row r="35" spans="2:25" ht="15" x14ac:dyDescent="0.2">
      <c r="B35" s="5">
        <v>45789</v>
      </c>
      <c r="C35" s="25" t="s">
        <v>0</v>
      </c>
      <c r="D35" s="22" t="s">
        <v>1</v>
      </c>
      <c r="E35" s="22" t="s">
        <v>0</v>
      </c>
      <c r="F35" s="26" t="s">
        <v>1</v>
      </c>
      <c r="G35" s="25" t="s">
        <v>0</v>
      </c>
      <c r="H35" s="22" t="s">
        <v>1</v>
      </c>
      <c r="I35" s="22" t="s">
        <v>0</v>
      </c>
      <c r="J35" s="26" t="s">
        <v>1</v>
      </c>
      <c r="K35" s="25" t="s">
        <v>0</v>
      </c>
      <c r="L35" s="22" t="s">
        <v>1</v>
      </c>
      <c r="M35" s="22" t="s">
        <v>0</v>
      </c>
      <c r="N35" s="22" t="s">
        <v>1</v>
      </c>
      <c r="O35" s="23" t="s">
        <v>0</v>
      </c>
      <c r="P35" s="24" t="s">
        <v>1</v>
      </c>
      <c r="Q35" s="22" t="s">
        <v>0</v>
      </c>
      <c r="R35" s="22" t="s">
        <v>1</v>
      </c>
      <c r="S35" s="21" t="s">
        <v>0</v>
      </c>
      <c r="T35" s="22" t="s">
        <v>1</v>
      </c>
      <c r="U35" s="24" t="s">
        <v>0</v>
      </c>
      <c r="V35" s="24" t="s">
        <v>1</v>
      </c>
      <c r="W35" s="21" t="s">
        <v>0</v>
      </c>
      <c r="X35" s="27" t="s">
        <v>1</v>
      </c>
      <c r="Y35" s="28"/>
    </row>
    <row r="36" spans="2:25" ht="15" x14ac:dyDescent="0.2">
      <c r="B36" s="4" t="s">
        <v>17</v>
      </c>
      <c r="C36" s="2">
        <v>20</v>
      </c>
      <c r="D36" s="1">
        <v>5</v>
      </c>
      <c r="G36" s="2">
        <v>40</v>
      </c>
      <c r="H36" s="1">
        <v>10</v>
      </c>
      <c r="I36" s="1">
        <v>16</v>
      </c>
      <c r="K36" s="2"/>
      <c r="O36" s="10"/>
      <c r="S36" s="10"/>
      <c r="U36" s="1">
        <v>16</v>
      </c>
      <c r="W36" s="10"/>
      <c r="X36" s="11"/>
      <c r="Y36" s="7">
        <f>C36*D36+E36*F36+G36*H36+I36*J36+K36*L36+M36*N36+O36*P36+Q36*R36+S36*T36*0.25+U36*V36+W36*X36*0.25</f>
        <v>500</v>
      </c>
    </row>
    <row r="37" spans="2:25" ht="15" x14ac:dyDescent="0.2">
      <c r="B37" s="4" t="s">
        <v>18</v>
      </c>
      <c r="C37" s="2">
        <v>40</v>
      </c>
      <c r="D37" s="1">
        <v>6</v>
      </c>
      <c r="E37" s="1">
        <v>40</v>
      </c>
      <c r="F37" s="1">
        <v>12</v>
      </c>
      <c r="G37" s="2">
        <v>60</v>
      </c>
      <c r="H37" s="1">
        <v>6</v>
      </c>
      <c r="I37" s="1">
        <v>33.5</v>
      </c>
      <c r="J37" s="1">
        <v>4</v>
      </c>
      <c r="K37" s="2">
        <v>20</v>
      </c>
      <c r="M37" s="1">
        <v>60</v>
      </c>
      <c r="O37" s="10">
        <v>55</v>
      </c>
      <c r="P37" s="1">
        <v>6</v>
      </c>
      <c r="Q37" s="1">
        <v>46</v>
      </c>
      <c r="R37" s="1">
        <v>5</v>
      </c>
      <c r="S37" s="10">
        <v>35</v>
      </c>
      <c r="T37" s="1">
        <v>50</v>
      </c>
      <c r="U37" s="1">
        <v>25</v>
      </c>
      <c r="W37" s="10">
        <v>38</v>
      </c>
      <c r="X37" s="11">
        <v>20</v>
      </c>
      <c r="Y37" s="7">
        <f>C37*D37+E37*F37+G37*H37+I37*J37+K37*L37+M37*N37+O37*P37+Q37*R37+S37*T37*0.25+U37*V37+W37*X37*0.25</f>
        <v>2401.5</v>
      </c>
    </row>
    <row r="38" spans="2:25" ht="15" x14ac:dyDescent="0.2">
      <c r="B38" s="4" t="s">
        <v>19</v>
      </c>
      <c r="C38" s="2">
        <v>50</v>
      </c>
      <c r="D38" s="1">
        <v>6</v>
      </c>
      <c r="E38" s="1">
        <v>40</v>
      </c>
      <c r="F38" s="1">
        <v>12</v>
      </c>
      <c r="G38" s="2">
        <v>60</v>
      </c>
      <c r="H38" s="1">
        <v>6</v>
      </c>
      <c r="I38" s="1">
        <v>33.5</v>
      </c>
      <c r="J38" s="1">
        <v>4</v>
      </c>
      <c r="K38" s="2">
        <v>20</v>
      </c>
      <c r="M38" s="1">
        <v>50</v>
      </c>
      <c r="O38" s="10">
        <v>55</v>
      </c>
      <c r="P38" s="1">
        <v>6</v>
      </c>
      <c r="Q38" s="1">
        <v>46</v>
      </c>
      <c r="R38" s="1">
        <v>5</v>
      </c>
      <c r="S38" s="10">
        <v>35</v>
      </c>
      <c r="T38" s="1">
        <v>50</v>
      </c>
      <c r="U38" s="1">
        <v>25</v>
      </c>
      <c r="W38" s="10">
        <v>38</v>
      </c>
      <c r="X38" s="11">
        <v>20</v>
      </c>
      <c r="Y38" s="7">
        <f>C38*D38+E38*F38+G38*H38+I38*J38+K38*L38+M38*N38+O38*P38+Q38*R38+S38*T38*0.25+U38*V38+W38*X38*0.25</f>
        <v>2461.5</v>
      </c>
    </row>
    <row r="39" spans="2:25" ht="15" x14ac:dyDescent="0.2">
      <c r="B39" s="4" t="s">
        <v>20</v>
      </c>
      <c r="C39" s="2">
        <v>50</v>
      </c>
      <c r="D39" s="1">
        <v>6</v>
      </c>
      <c r="E39" s="1">
        <v>40</v>
      </c>
      <c r="F39" s="1">
        <v>8</v>
      </c>
      <c r="G39" s="2">
        <v>60</v>
      </c>
      <c r="H39" s="1">
        <v>6</v>
      </c>
      <c r="I39" s="1">
        <v>33.5</v>
      </c>
      <c r="J39" s="1">
        <v>4</v>
      </c>
      <c r="K39" s="2">
        <v>20</v>
      </c>
      <c r="M39" s="1">
        <v>50</v>
      </c>
      <c r="O39" s="10">
        <v>55</v>
      </c>
      <c r="P39" s="1">
        <v>6</v>
      </c>
      <c r="Q39" s="1">
        <v>46</v>
      </c>
      <c r="R39" s="1">
        <v>5</v>
      </c>
      <c r="S39" s="10">
        <v>35</v>
      </c>
      <c r="T39" s="1">
        <v>50</v>
      </c>
      <c r="U39" s="1">
        <v>25</v>
      </c>
      <c r="W39" s="10">
        <v>38</v>
      </c>
      <c r="X39" s="11">
        <v>20</v>
      </c>
      <c r="Y39" s="7">
        <f>C39*D39+E39*F39+G39*H39+I39*J39+K39*L39+M39*N39+O39*P39+Q39*R39+S39*T39*0.25+U39*V39+W39*X39*0.25</f>
        <v>2301.5</v>
      </c>
    </row>
    <row r="40" spans="2:25" ht="15.75" thickBot="1" x14ac:dyDescent="0.25">
      <c r="B40" s="4" t="s">
        <v>21</v>
      </c>
      <c r="C40" s="2">
        <v>50</v>
      </c>
      <c r="D40" s="1">
        <v>6</v>
      </c>
      <c r="E40" s="1">
        <v>40</v>
      </c>
      <c r="F40" s="1">
        <v>6</v>
      </c>
      <c r="G40" s="2">
        <v>60</v>
      </c>
      <c r="H40" s="1">
        <v>6</v>
      </c>
      <c r="I40" s="1">
        <v>33.5</v>
      </c>
      <c r="J40" s="1">
        <v>4</v>
      </c>
      <c r="K40" s="2">
        <v>20</v>
      </c>
      <c r="M40" s="1">
        <v>50</v>
      </c>
      <c r="O40" s="15">
        <v>55</v>
      </c>
      <c r="P40" s="16">
        <v>6</v>
      </c>
      <c r="Q40" s="16">
        <v>46</v>
      </c>
      <c r="R40" s="16">
        <v>5</v>
      </c>
      <c r="S40" s="15">
        <v>35</v>
      </c>
      <c r="T40" s="16">
        <v>50</v>
      </c>
      <c r="U40" s="16">
        <v>25</v>
      </c>
      <c r="V40" s="16"/>
      <c r="W40" s="15">
        <v>38</v>
      </c>
      <c r="X40" s="17">
        <v>20</v>
      </c>
      <c r="Y40" s="7">
        <f>C40*D40+E40*F40+G40*H40+I40*J40+K40*L40+M40*N40+O40*P40+Q40*R40+S40*T40*0.25+U40*V40+W40*X40*0.25</f>
        <v>2221.5</v>
      </c>
    </row>
    <row r="41" spans="2:25" ht="15.75" thickBot="1" x14ac:dyDescent="0.25">
      <c r="B41" s="9" t="s">
        <v>4</v>
      </c>
      <c r="C41" s="20">
        <f>SUMPRODUCT(C36:C40,D36:D40)</f>
        <v>1240</v>
      </c>
      <c r="D41" s="14"/>
      <c r="E41" s="14">
        <f>SUMPRODUCT(E36:E40,F36:F40)</f>
        <v>1520</v>
      </c>
      <c r="F41" s="14"/>
      <c r="G41" s="14">
        <f>SUMPRODUCT(G36:G40,H36:H40)</f>
        <v>1840</v>
      </c>
      <c r="H41" s="14"/>
      <c r="I41" s="14">
        <f>SUMPRODUCT(I36:I40,J36:J40)</f>
        <v>536</v>
      </c>
      <c r="J41" s="14"/>
      <c r="K41" s="14">
        <f>SUMPRODUCT(K36:K40,L36:L40)</f>
        <v>0</v>
      </c>
      <c r="L41" s="14"/>
      <c r="M41" s="14">
        <f>SUMPRODUCT(M36:M40,N36:N40)</f>
        <v>0</v>
      </c>
      <c r="N41" s="14"/>
      <c r="O41" s="18">
        <f>SUMPRODUCT(O36:O40,P36:P40)*0.5</f>
        <v>660</v>
      </c>
      <c r="P41" s="18"/>
      <c r="Q41" s="18">
        <f>SUMPRODUCT(Q36:Q40,R36:R40)</f>
        <v>920</v>
      </c>
      <c r="R41" s="18"/>
      <c r="S41" s="18">
        <f>SUMPRODUCT(S36:S40,T36:T40)*0.1</f>
        <v>700</v>
      </c>
      <c r="T41" s="18"/>
      <c r="U41" s="18">
        <f>SUMPRODUCT(U36:U40,V36:V40)</f>
        <v>0</v>
      </c>
      <c r="V41" s="18"/>
      <c r="W41" s="18">
        <f>SUMPRODUCT(W36:W40,X36:X40)*0.25</f>
        <v>760</v>
      </c>
      <c r="X41" s="18"/>
      <c r="Y41" s="13">
        <f>SUM(Y36:Y40)</f>
        <v>9886</v>
      </c>
    </row>
    <row r="42" spans="2:25" ht="15.75" thickBot="1" x14ac:dyDescent="0.25">
      <c r="B42" s="8" t="s">
        <v>6</v>
      </c>
      <c r="C42" s="45">
        <v>5</v>
      </c>
      <c r="D42" s="46"/>
      <c r="E42" s="45">
        <v>3</v>
      </c>
      <c r="F42" s="46"/>
      <c r="G42" s="45">
        <v>7</v>
      </c>
      <c r="H42" s="46"/>
      <c r="I42" s="45">
        <v>1</v>
      </c>
      <c r="J42" s="46"/>
      <c r="K42" s="45"/>
      <c r="L42" s="46"/>
      <c r="M42" s="45"/>
      <c r="N42" s="46"/>
      <c r="O42" s="45">
        <v>6</v>
      </c>
      <c r="P42" s="46"/>
      <c r="Q42" s="45">
        <v>4</v>
      </c>
      <c r="R42" s="46"/>
      <c r="S42" s="45">
        <v>2</v>
      </c>
      <c r="T42" s="46"/>
      <c r="U42" s="45"/>
      <c r="V42" s="46"/>
      <c r="W42" s="45">
        <v>8</v>
      </c>
      <c r="X42" s="46"/>
      <c r="Y42" s="19" t="s">
        <v>61</v>
      </c>
    </row>
    <row r="43" spans="2:25" ht="15.75" thickBot="1" x14ac:dyDescent="0.25"/>
    <row r="44" spans="2:25" ht="15" customHeight="1" x14ac:dyDescent="0.2">
      <c r="B44" s="31" t="s">
        <v>5</v>
      </c>
      <c r="C44" s="50" t="s">
        <v>29</v>
      </c>
      <c r="D44" s="42"/>
      <c r="E44" s="42" t="s">
        <v>59</v>
      </c>
      <c r="F44" s="42"/>
      <c r="G44" s="50" t="s">
        <v>2</v>
      </c>
      <c r="H44" s="42"/>
      <c r="I44" s="42" t="s">
        <v>3</v>
      </c>
      <c r="J44" s="42"/>
      <c r="K44" s="50" t="s">
        <v>39</v>
      </c>
      <c r="L44" s="42"/>
      <c r="M44" s="42" t="s">
        <v>40</v>
      </c>
      <c r="N44" s="42"/>
      <c r="O44" s="50" t="s">
        <v>51</v>
      </c>
      <c r="P44" s="42"/>
      <c r="Q44" s="42" t="s">
        <v>22</v>
      </c>
      <c r="R44" s="42"/>
      <c r="S44" s="50" t="s">
        <v>41</v>
      </c>
      <c r="T44" s="42"/>
      <c r="U44" s="42" t="s">
        <v>55</v>
      </c>
      <c r="V44" s="51"/>
      <c r="W44" s="52" t="s">
        <v>42</v>
      </c>
      <c r="X44" s="44"/>
      <c r="Y44" s="6" t="s">
        <v>14</v>
      </c>
    </row>
    <row r="45" spans="2:25" ht="15" x14ac:dyDescent="0.2">
      <c r="B45" s="32">
        <v>45859</v>
      </c>
      <c r="C45" s="21" t="s">
        <v>0</v>
      </c>
      <c r="D45" s="22" t="s">
        <v>1</v>
      </c>
      <c r="E45" s="22" t="s">
        <v>0</v>
      </c>
      <c r="F45" s="22" t="s">
        <v>1</v>
      </c>
      <c r="G45" s="21" t="s">
        <v>0</v>
      </c>
      <c r="H45" s="22" t="s">
        <v>1</v>
      </c>
      <c r="I45" s="22" t="s">
        <v>0</v>
      </c>
      <c r="J45" s="22" t="s">
        <v>1</v>
      </c>
      <c r="K45" s="21" t="s">
        <v>0</v>
      </c>
      <c r="L45" s="22" t="s">
        <v>1</v>
      </c>
      <c r="M45" s="22" t="s">
        <v>0</v>
      </c>
      <c r="N45" s="22" t="s">
        <v>1</v>
      </c>
      <c r="O45" s="23" t="s">
        <v>0</v>
      </c>
      <c r="P45" s="24" t="s">
        <v>1</v>
      </c>
      <c r="Q45" s="22" t="s">
        <v>0</v>
      </c>
      <c r="R45" s="22" t="s">
        <v>1</v>
      </c>
      <c r="S45" s="21" t="s">
        <v>0</v>
      </c>
      <c r="T45" s="22" t="s">
        <v>1</v>
      </c>
      <c r="U45" s="24" t="s">
        <v>0</v>
      </c>
      <c r="V45" s="37" t="s">
        <v>1</v>
      </c>
      <c r="W45" s="22" t="s">
        <v>0</v>
      </c>
      <c r="X45" s="27" t="s">
        <v>1</v>
      </c>
      <c r="Y45" s="28"/>
    </row>
    <row r="46" spans="2:25" ht="15" x14ac:dyDescent="0.2">
      <c r="B46" s="33" t="s">
        <v>17</v>
      </c>
      <c r="C46" s="10">
        <v>20</v>
      </c>
      <c r="D46" s="1">
        <v>10</v>
      </c>
      <c r="G46" s="10">
        <v>40</v>
      </c>
      <c r="H46" s="1">
        <v>10</v>
      </c>
      <c r="I46" s="1">
        <v>16</v>
      </c>
      <c r="K46" s="10"/>
      <c r="O46" s="10"/>
      <c r="S46" s="10"/>
      <c r="U46" s="1">
        <v>16</v>
      </c>
      <c r="V46" s="11"/>
      <c r="X46" s="11"/>
      <c r="Y46" s="7">
        <f>C46*D46+E46*F46+G46*H46+I46*J46+K46*L46+M46*N46+O46*P46+Q46*R46+S46*T46*0.25+U46*V46+W46*X46*0.25</f>
        <v>600</v>
      </c>
    </row>
    <row r="47" spans="2:25" ht="15" x14ac:dyDescent="0.2">
      <c r="B47" s="33" t="s">
        <v>18</v>
      </c>
      <c r="C47" s="10">
        <v>40</v>
      </c>
      <c r="D47" s="1">
        <v>6</v>
      </c>
      <c r="E47" s="1">
        <v>40</v>
      </c>
      <c r="F47" s="1">
        <v>12</v>
      </c>
      <c r="G47" s="10">
        <v>60</v>
      </c>
      <c r="H47" s="1">
        <v>6</v>
      </c>
      <c r="I47" s="1">
        <v>33.5</v>
      </c>
      <c r="K47" s="10">
        <v>20</v>
      </c>
      <c r="M47" s="1">
        <v>60</v>
      </c>
      <c r="O47" s="10">
        <v>55</v>
      </c>
      <c r="P47" s="1">
        <v>6</v>
      </c>
      <c r="Q47" s="1">
        <v>46</v>
      </c>
      <c r="S47" s="10">
        <v>35</v>
      </c>
      <c r="T47" s="1">
        <v>40</v>
      </c>
      <c r="U47" s="1">
        <v>25</v>
      </c>
      <c r="V47" s="11"/>
      <c r="W47" s="1">
        <v>38</v>
      </c>
      <c r="X47" s="11">
        <v>20</v>
      </c>
      <c r="Y47" s="7">
        <f>C47*D47+E47*F47+G47*H47+I47*J47+K47*L47+M47*N47+O47*P47+Q47*R47+S47*T47*0.25+U47*V47+W47*X47*0.25</f>
        <v>1950</v>
      </c>
    </row>
    <row r="48" spans="2:25" ht="15" x14ac:dyDescent="0.2">
      <c r="B48" s="33" t="s">
        <v>19</v>
      </c>
      <c r="C48" s="10">
        <v>50</v>
      </c>
      <c r="D48" s="1">
        <v>6</v>
      </c>
      <c r="E48" s="1">
        <v>40</v>
      </c>
      <c r="F48" s="1">
        <v>12</v>
      </c>
      <c r="G48" s="10">
        <v>60</v>
      </c>
      <c r="H48" s="1">
        <v>6</v>
      </c>
      <c r="I48" s="1">
        <v>33.5</v>
      </c>
      <c r="K48" s="10">
        <v>20</v>
      </c>
      <c r="M48" s="1">
        <v>50</v>
      </c>
      <c r="O48" s="10">
        <v>55</v>
      </c>
      <c r="P48" s="1">
        <v>6</v>
      </c>
      <c r="Q48" s="1">
        <v>46</v>
      </c>
      <c r="S48" s="10">
        <v>35</v>
      </c>
      <c r="T48" s="1">
        <v>40</v>
      </c>
      <c r="U48" s="1">
        <v>25</v>
      </c>
      <c r="V48" s="11"/>
      <c r="W48" s="1">
        <v>38</v>
      </c>
      <c r="X48" s="11">
        <v>20</v>
      </c>
      <c r="Y48" s="7">
        <f>C48*D48+E48*F48+G48*H48+I48*J48+K48*L48+M48*N48+O48*P48+Q48*R48+S48*T48*0.25+U48*V48+W48*X48*0.25</f>
        <v>2010</v>
      </c>
    </row>
    <row r="49" spans="2:25" ht="15" x14ac:dyDescent="0.2">
      <c r="B49" s="33" t="s">
        <v>20</v>
      </c>
      <c r="C49" s="10">
        <v>50</v>
      </c>
      <c r="D49" s="1">
        <v>6</v>
      </c>
      <c r="E49" s="1">
        <v>40</v>
      </c>
      <c r="F49" s="1">
        <v>8</v>
      </c>
      <c r="G49" s="10">
        <v>60</v>
      </c>
      <c r="H49" s="1">
        <v>6</v>
      </c>
      <c r="I49" s="1">
        <v>33.5</v>
      </c>
      <c r="K49" s="10">
        <v>20</v>
      </c>
      <c r="M49" s="1">
        <v>50</v>
      </c>
      <c r="O49" s="10">
        <v>55</v>
      </c>
      <c r="P49" s="1">
        <v>6</v>
      </c>
      <c r="Q49" s="1">
        <v>46</v>
      </c>
      <c r="S49" s="10">
        <v>35</v>
      </c>
      <c r="T49" s="1">
        <v>40</v>
      </c>
      <c r="U49" s="1">
        <v>25</v>
      </c>
      <c r="V49" s="11"/>
      <c r="W49" s="1">
        <v>38</v>
      </c>
      <c r="X49" s="11">
        <v>20</v>
      </c>
      <c r="Y49" s="7">
        <f>C49*D49+E49*F49+G49*H49+I49*J49+K49*L49+M49*N49+O49*P49+Q49*R49+S49*T49*0.25+U49*V49+W49*X49*0.25</f>
        <v>1850</v>
      </c>
    </row>
    <row r="50" spans="2:25" ht="15.75" thickBot="1" x14ac:dyDescent="0.25">
      <c r="B50" s="33" t="s">
        <v>21</v>
      </c>
      <c r="C50" s="10">
        <v>50</v>
      </c>
      <c r="D50" s="1">
        <v>6</v>
      </c>
      <c r="E50" s="1">
        <v>40</v>
      </c>
      <c r="F50" s="1">
        <v>6</v>
      </c>
      <c r="G50" s="10">
        <v>60</v>
      </c>
      <c r="H50" s="1">
        <v>6</v>
      </c>
      <c r="I50" s="1">
        <v>33.5</v>
      </c>
      <c r="K50" s="10">
        <v>20</v>
      </c>
      <c r="M50" s="1">
        <v>50</v>
      </c>
      <c r="O50" s="15">
        <v>55</v>
      </c>
      <c r="P50" s="16"/>
      <c r="Q50" s="16">
        <v>46</v>
      </c>
      <c r="R50" s="16"/>
      <c r="S50" s="15">
        <v>35</v>
      </c>
      <c r="T50" s="16">
        <v>40</v>
      </c>
      <c r="U50" s="16">
        <v>25</v>
      </c>
      <c r="V50" s="17"/>
      <c r="W50" s="16">
        <v>38</v>
      </c>
      <c r="X50" s="17"/>
      <c r="Y50" s="7">
        <f>C50*D50+E50*F50+G50*H50+I50*J50+K50*L50+M50*N50+O50*P50+Q50*R50+S50*T50*0.25+U50*V50+W50*X50*0.25</f>
        <v>1250</v>
      </c>
    </row>
    <row r="51" spans="2:25" ht="15.75" thickBot="1" x14ac:dyDescent="0.25">
      <c r="B51" s="9" t="s">
        <v>4</v>
      </c>
      <c r="C51" s="30">
        <f>SUMPRODUCT(C46:C50,D46:D50)</f>
        <v>1340</v>
      </c>
      <c r="D51" s="14"/>
      <c r="E51" s="14">
        <f>SUMPRODUCT(E46:E50,F46:F50)</f>
        <v>1520</v>
      </c>
      <c r="F51" s="14"/>
      <c r="G51" s="34">
        <f>SUMPRODUCT(G46:G50,H46:H50)</f>
        <v>1840</v>
      </c>
      <c r="H51" s="14"/>
      <c r="I51" s="14">
        <f>SUMPRODUCT(I46:I50,J46:J50)</f>
        <v>0</v>
      </c>
      <c r="J51" s="14"/>
      <c r="K51" s="34">
        <f>SUMPRODUCT(K46:K50,L46:L50)</f>
        <v>0</v>
      </c>
      <c r="L51" s="14"/>
      <c r="M51" s="14">
        <f>SUMPRODUCT(M46:M50,N46:N50)</f>
        <v>0</v>
      </c>
      <c r="N51" s="14"/>
      <c r="O51" s="35">
        <f>SUMPRODUCT(O46:O50,P46:P50)*0.5</f>
        <v>495</v>
      </c>
      <c r="P51" s="18"/>
      <c r="Q51" s="18">
        <f>SUMPRODUCT(Q46:Q50,R46:R50)</f>
        <v>0</v>
      </c>
      <c r="R51" s="18"/>
      <c r="S51" s="35">
        <f>SUMPRODUCT(S46:S50,T46:T50)*0.1</f>
        <v>560</v>
      </c>
      <c r="T51" s="18"/>
      <c r="U51" s="18">
        <f>SUMPRODUCT(U46:U50,V46:V50)</f>
        <v>0</v>
      </c>
      <c r="V51" s="36"/>
      <c r="W51" s="18">
        <f>SUMPRODUCT(W46:W50,X46:X50)*0.25</f>
        <v>570</v>
      </c>
      <c r="X51" s="18"/>
      <c r="Y51" s="13">
        <f>SUM(Y46:Y50)</f>
        <v>7660</v>
      </c>
    </row>
    <row r="52" spans="2:25" ht="15.75" thickBot="1" x14ac:dyDescent="0.25">
      <c r="B52" s="8" t="s">
        <v>6</v>
      </c>
      <c r="C52" s="53">
        <v>1</v>
      </c>
      <c r="D52" s="46"/>
      <c r="E52" s="45">
        <v>2</v>
      </c>
      <c r="F52" s="46"/>
      <c r="G52" s="53">
        <v>3</v>
      </c>
      <c r="H52" s="46"/>
      <c r="I52" s="45"/>
      <c r="J52" s="46"/>
      <c r="K52" s="53"/>
      <c r="L52" s="46"/>
      <c r="M52" s="45"/>
      <c r="N52" s="46"/>
      <c r="O52" s="53">
        <v>4</v>
      </c>
      <c r="P52" s="46"/>
      <c r="Q52" s="45"/>
      <c r="R52" s="46"/>
      <c r="S52" s="53">
        <v>5</v>
      </c>
      <c r="T52" s="46"/>
      <c r="U52" s="45"/>
      <c r="V52" s="54"/>
      <c r="W52" s="45">
        <v>6</v>
      </c>
      <c r="X52" s="46"/>
      <c r="Y52" s="19"/>
    </row>
    <row r="53" spans="2:25" ht="15.75" thickBot="1" x14ac:dyDescent="0.25"/>
    <row r="54" spans="2:25" ht="15" customHeight="1" x14ac:dyDescent="0.2">
      <c r="B54" s="31" t="s">
        <v>5</v>
      </c>
      <c r="C54" s="50" t="s">
        <v>29</v>
      </c>
      <c r="D54" s="42"/>
      <c r="E54" s="42" t="s">
        <v>59</v>
      </c>
      <c r="F54" s="42"/>
      <c r="G54" s="50" t="s">
        <v>2</v>
      </c>
      <c r="H54" s="42"/>
      <c r="I54" s="42" t="s">
        <v>3</v>
      </c>
      <c r="J54" s="42"/>
      <c r="K54" s="50" t="s">
        <v>39</v>
      </c>
      <c r="L54" s="42"/>
      <c r="M54" s="42" t="s">
        <v>40</v>
      </c>
      <c r="N54" s="42"/>
      <c r="O54" s="50" t="s">
        <v>51</v>
      </c>
      <c r="P54" s="42"/>
      <c r="Q54" s="42" t="s">
        <v>22</v>
      </c>
      <c r="R54" s="42"/>
      <c r="S54" s="50" t="s">
        <v>41</v>
      </c>
      <c r="T54" s="42"/>
      <c r="U54" s="42" t="s">
        <v>55</v>
      </c>
      <c r="V54" s="51"/>
      <c r="W54" s="52" t="s">
        <v>42</v>
      </c>
      <c r="X54" s="44"/>
      <c r="Y54" s="6" t="s">
        <v>14</v>
      </c>
    </row>
    <row r="55" spans="2:25" ht="16" customHeight="1" x14ac:dyDescent="0.2">
      <c r="B55" s="32"/>
      <c r="C55" s="21" t="s">
        <v>0</v>
      </c>
      <c r="D55" s="22" t="s">
        <v>1</v>
      </c>
      <c r="E55" s="22" t="s">
        <v>0</v>
      </c>
      <c r="F55" s="22" t="s">
        <v>1</v>
      </c>
      <c r="G55" s="21" t="s">
        <v>0</v>
      </c>
      <c r="H55" s="22" t="s">
        <v>1</v>
      </c>
      <c r="I55" s="22" t="s">
        <v>0</v>
      </c>
      <c r="J55" s="22" t="s">
        <v>1</v>
      </c>
      <c r="K55" s="21" t="s">
        <v>0</v>
      </c>
      <c r="L55" s="22" t="s">
        <v>1</v>
      </c>
      <c r="M55" s="22" t="s">
        <v>0</v>
      </c>
      <c r="N55" s="22" t="s">
        <v>1</v>
      </c>
      <c r="O55" s="23" t="s">
        <v>0</v>
      </c>
      <c r="P55" s="24" t="s">
        <v>1</v>
      </c>
      <c r="Q55" s="22" t="s">
        <v>0</v>
      </c>
      <c r="R55" s="22" t="s">
        <v>1</v>
      </c>
      <c r="S55" s="21" t="s">
        <v>0</v>
      </c>
      <c r="T55" s="22" t="s">
        <v>1</v>
      </c>
      <c r="U55" s="24" t="s">
        <v>0</v>
      </c>
      <c r="V55" s="37" t="s">
        <v>1</v>
      </c>
      <c r="W55" s="22" t="s">
        <v>0</v>
      </c>
      <c r="X55" s="27" t="s">
        <v>1</v>
      </c>
      <c r="Y55" s="28"/>
    </row>
    <row r="56" spans="2:25" ht="15" x14ac:dyDescent="0.2">
      <c r="B56" s="33" t="s">
        <v>17</v>
      </c>
      <c r="C56" s="10">
        <v>20</v>
      </c>
      <c r="G56" s="10">
        <v>40</v>
      </c>
      <c r="I56" s="1">
        <v>16</v>
      </c>
      <c r="K56" s="10"/>
      <c r="O56" s="10"/>
      <c r="S56" s="10"/>
      <c r="U56" s="1">
        <v>16</v>
      </c>
      <c r="V56" s="11"/>
      <c r="X56" s="11"/>
      <c r="Y56" s="7">
        <f>C56*D56+E56*F56+G56*H56+I56*J56+K56*L56+M56*N56+O56*P56+Q56*R56+S56*T56*0.25+U56*V56+W56*X56*0.25</f>
        <v>0</v>
      </c>
    </row>
    <row r="57" spans="2:25" ht="15" x14ac:dyDescent="0.2">
      <c r="B57" s="33" t="s">
        <v>18</v>
      </c>
      <c r="C57" s="10">
        <v>40</v>
      </c>
      <c r="E57" s="1">
        <v>40</v>
      </c>
      <c r="G57" s="10">
        <v>60</v>
      </c>
      <c r="I57" s="1">
        <v>33.5</v>
      </c>
      <c r="K57" s="10">
        <v>20</v>
      </c>
      <c r="M57" s="1">
        <v>60</v>
      </c>
      <c r="O57" s="10">
        <v>55</v>
      </c>
      <c r="Q57" s="1">
        <v>46</v>
      </c>
      <c r="S57" s="10">
        <v>35</v>
      </c>
      <c r="U57" s="1">
        <v>25</v>
      </c>
      <c r="V57" s="11"/>
      <c r="W57" s="1">
        <v>38</v>
      </c>
      <c r="X57" s="11"/>
      <c r="Y57" s="7">
        <f>C57*D57+E57*F57+G57*H57+I57*J57+K57*L57+M57*N57+O57*P57+Q57*R57+S57*T57*0.25+U57*V57+W57*X57*0.25</f>
        <v>0</v>
      </c>
    </row>
    <row r="58" spans="2:25" ht="15" x14ac:dyDescent="0.2">
      <c r="B58" s="33" t="s">
        <v>19</v>
      </c>
      <c r="C58" s="10">
        <v>50</v>
      </c>
      <c r="E58" s="1">
        <v>40</v>
      </c>
      <c r="G58" s="10">
        <v>60</v>
      </c>
      <c r="I58" s="1">
        <v>33.5</v>
      </c>
      <c r="K58" s="10">
        <v>20</v>
      </c>
      <c r="M58" s="1">
        <v>50</v>
      </c>
      <c r="O58" s="10">
        <v>55</v>
      </c>
      <c r="Q58" s="1">
        <v>46</v>
      </c>
      <c r="S58" s="10">
        <v>35</v>
      </c>
      <c r="U58" s="1">
        <v>25</v>
      </c>
      <c r="V58" s="11"/>
      <c r="W58" s="1">
        <v>38</v>
      </c>
      <c r="X58" s="11"/>
      <c r="Y58" s="7">
        <f>C58*D58+E58*F58+G58*H58+I58*J58+K58*L58+M58*N58+O58*P58+Q58*R58+S58*T58*0.25+U58*V58+W58*X58*0.25</f>
        <v>0</v>
      </c>
    </row>
    <row r="59" spans="2:25" ht="15" x14ac:dyDescent="0.2">
      <c r="B59" s="33" t="s">
        <v>20</v>
      </c>
      <c r="C59" s="10">
        <v>50</v>
      </c>
      <c r="E59" s="1">
        <v>40</v>
      </c>
      <c r="G59" s="10">
        <v>60</v>
      </c>
      <c r="I59" s="1">
        <v>33.5</v>
      </c>
      <c r="K59" s="10">
        <v>20</v>
      </c>
      <c r="M59" s="1">
        <v>50</v>
      </c>
      <c r="O59" s="10">
        <v>55</v>
      </c>
      <c r="Q59" s="1">
        <v>46</v>
      </c>
      <c r="S59" s="10">
        <v>35</v>
      </c>
      <c r="U59" s="1">
        <v>25</v>
      </c>
      <c r="V59" s="11"/>
      <c r="W59" s="1">
        <v>38</v>
      </c>
      <c r="X59" s="11"/>
      <c r="Y59" s="7">
        <f>C59*D59+E59*F59+G59*H59+I59*J59+K59*L59+M59*N59+O59*P59+Q59*R59+S59*T59*0.25+U59*V59+W59*X59*0.25</f>
        <v>0</v>
      </c>
    </row>
    <row r="60" spans="2:25" ht="15.75" thickBot="1" x14ac:dyDescent="0.25">
      <c r="B60" s="33" t="s">
        <v>21</v>
      </c>
      <c r="C60" s="10">
        <v>50</v>
      </c>
      <c r="E60" s="1">
        <v>40</v>
      </c>
      <c r="G60" s="10">
        <v>60</v>
      </c>
      <c r="I60" s="1">
        <v>33.5</v>
      </c>
      <c r="K60" s="10">
        <v>20</v>
      </c>
      <c r="M60" s="1">
        <v>50</v>
      </c>
      <c r="O60" s="15">
        <v>55</v>
      </c>
      <c r="P60" s="16"/>
      <c r="Q60" s="16">
        <v>46</v>
      </c>
      <c r="R60" s="16"/>
      <c r="S60" s="15">
        <v>35</v>
      </c>
      <c r="T60" s="16"/>
      <c r="U60" s="16">
        <v>25</v>
      </c>
      <c r="V60" s="17"/>
      <c r="W60" s="16">
        <v>38</v>
      </c>
      <c r="X60" s="17"/>
      <c r="Y60" s="7">
        <f>C60*D60+E60*F60+G60*H60+I60*J60+K60*L60+M60*N60+O60*P60+Q60*R60+S60*T60*0.25+U60*V60+W60*X60*0.25</f>
        <v>0</v>
      </c>
    </row>
    <row r="61" spans="2:25" ht="15.75" thickBot="1" x14ac:dyDescent="0.25">
      <c r="B61" s="9" t="s">
        <v>4</v>
      </c>
      <c r="C61" s="30">
        <f>SUMPRODUCT(C56:C60,D56:D60)</f>
        <v>0</v>
      </c>
      <c r="D61" s="14"/>
      <c r="E61" s="14">
        <f>SUMPRODUCT(E56:E60,F56:F60)</f>
        <v>0</v>
      </c>
      <c r="F61" s="14"/>
      <c r="G61" s="34">
        <f>SUMPRODUCT(G56:G60,H56:H60)</f>
        <v>0</v>
      </c>
      <c r="H61" s="14"/>
      <c r="I61" s="14">
        <f>SUMPRODUCT(I56:I60,J56:J60)</f>
        <v>0</v>
      </c>
      <c r="J61" s="14"/>
      <c r="K61" s="34">
        <f>SUMPRODUCT(K56:K60,L56:L60)</f>
        <v>0</v>
      </c>
      <c r="L61" s="14"/>
      <c r="M61" s="14">
        <f>SUMPRODUCT(M56:M60,N56:N60)</f>
        <v>0</v>
      </c>
      <c r="N61" s="14"/>
      <c r="O61" s="35">
        <f>SUMPRODUCT(O56:O60,P56:P60)*0.5</f>
        <v>0</v>
      </c>
      <c r="P61" s="18"/>
      <c r="Q61" s="18">
        <f>SUMPRODUCT(Q56:Q60,R56:R60)</f>
        <v>0</v>
      </c>
      <c r="R61" s="18"/>
      <c r="S61" s="35">
        <f>SUMPRODUCT(S56:S60,T56:T60)*0.1</f>
        <v>0</v>
      </c>
      <c r="T61" s="18"/>
      <c r="U61" s="18">
        <f>SUMPRODUCT(U56:U60,V56:V60)</f>
        <v>0</v>
      </c>
      <c r="V61" s="36"/>
      <c r="W61" s="18">
        <f>SUMPRODUCT(W56:W60,X56:X60)*0.25</f>
        <v>0</v>
      </c>
      <c r="X61" s="18"/>
      <c r="Y61" s="13">
        <f>SUM(Y56:Y60)</f>
        <v>0</v>
      </c>
    </row>
    <row r="62" spans="2:25" ht="15.75" thickBot="1" x14ac:dyDescent="0.25">
      <c r="B62" s="8" t="s">
        <v>6</v>
      </c>
      <c r="C62" s="53"/>
      <c r="D62" s="46"/>
      <c r="E62" s="45"/>
      <c r="F62" s="46"/>
      <c r="G62" s="53"/>
      <c r="H62" s="46"/>
      <c r="I62" s="45"/>
      <c r="J62" s="46"/>
      <c r="K62" s="53"/>
      <c r="L62" s="46"/>
      <c r="M62" s="45"/>
      <c r="N62" s="46"/>
      <c r="O62" s="53"/>
      <c r="P62" s="46"/>
      <c r="Q62" s="45"/>
      <c r="R62" s="46"/>
      <c r="S62" s="53"/>
      <c r="T62" s="46"/>
      <c r="U62" s="45"/>
      <c r="V62" s="54"/>
      <c r="W62" s="45"/>
      <c r="X62" s="46"/>
      <c r="Y62" s="19"/>
    </row>
    <row r="63" spans="2:25" ht="15" x14ac:dyDescent="0.2"/>
    <row r="64" spans="2:25" ht="15" x14ac:dyDescent="0.2"/>
    <row r="65" spans="2:25" ht="15.75" thickBot="1" x14ac:dyDescent="0.25"/>
    <row r="66" spans="2:25" x14ac:dyDescent="0.2">
      <c r="B66" s="3" t="s">
        <v>5</v>
      </c>
      <c r="C66" s="47" t="s">
        <v>3</v>
      </c>
      <c r="D66" s="48"/>
      <c r="E66" s="48" t="s">
        <v>45</v>
      </c>
      <c r="F66" s="49"/>
      <c r="G66" s="47" t="s">
        <v>2</v>
      </c>
      <c r="H66" s="48"/>
      <c r="I66" s="48" t="s">
        <v>29</v>
      </c>
      <c r="J66" s="49"/>
      <c r="K66" s="47" t="s">
        <v>39</v>
      </c>
      <c r="L66" s="48"/>
      <c r="M66" s="48" t="s">
        <v>40</v>
      </c>
      <c r="N66" s="48"/>
      <c r="O66" s="50" t="s">
        <v>51</v>
      </c>
      <c r="P66" s="42"/>
      <c r="Q66" s="42" t="s">
        <v>22</v>
      </c>
      <c r="R66" s="42"/>
      <c r="S66" s="50" t="s">
        <v>41</v>
      </c>
      <c r="T66" s="42"/>
      <c r="U66" s="42" t="s">
        <v>55</v>
      </c>
      <c r="V66" s="42"/>
      <c r="W66" s="43" t="s">
        <v>42</v>
      </c>
      <c r="X66" s="44"/>
      <c r="Y66" s="6" t="s">
        <v>14</v>
      </c>
    </row>
    <row r="67" spans="2:25" ht="15" x14ac:dyDescent="0.2">
      <c r="B67" s="5">
        <v>45546</v>
      </c>
      <c r="C67" s="25" t="s">
        <v>0</v>
      </c>
      <c r="D67" s="22" t="s">
        <v>1</v>
      </c>
      <c r="E67" s="22" t="s">
        <v>0</v>
      </c>
      <c r="F67" s="26" t="s">
        <v>1</v>
      </c>
      <c r="G67" s="25" t="s">
        <v>0</v>
      </c>
      <c r="H67" s="22" t="s">
        <v>1</v>
      </c>
      <c r="I67" s="22" t="s">
        <v>0</v>
      </c>
      <c r="J67" s="26" t="s">
        <v>1</v>
      </c>
      <c r="K67" s="25" t="s">
        <v>0</v>
      </c>
      <c r="L67" s="22" t="s">
        <v>1</v>
      </c>
      <c r="M67" s="22" t="s">
        <v>0</v>
      </c>
      <c r="N67" s="22" t="s">
        <v>1</v>
      </c>
      <c r="O67" s="23" t="s">
        <v>0</v>
      </c>
      <c r="P67" s="24" t="s">
        <v>1</v>
      </c>
      <c r="Q67" s="22" t="s">
        <v>0</v>
      </c>
      <c r="R67" s="22" t="s">
        <v>1</v>
      </c>
      <c r="S67" s="21" t="s">
        <v>0</v>
      </c>
      <c r="T67" s="22" t="s">
        <v>1</v>
      </c>
      <c r="U67" s="24" t="s">
        <v>0</v>
      </c>
      <c r="V67" s="24" t="s">
        <v>1</v>
      </c>
      <c r="W67" s="21" t="s">
        <v>0</v>
      </c>
      <c r="X67" s="27" t="s">
        <v>1</v>
      </c>
      <c r="Y67" s="28"/>
    </row>
    <row r="68" spans="2:25" ht="15" x14ac:dyDescent="0.2">
      <c r="B68" s="4" t="s">
        <v>17</v>
      </c>
      <c r="C68" s="2">
        <v>16</v>
      </c>
      <c r="D68" s="1">
        <v>10</v>
      </c>
      <c r="E68" s="1">
        <v>30</v>
      </c>
      <c r="F68" s="1">
        <v>10</v>
      </c>
      <c r="G68" s="2"/>
      <c r="K68" s="2"/>
      <c r="O68" s="10"/>
      <c r="S68" s="10"/>
      <c r="U68" s="1">
        <v>16</v>
      </c>
      <c r="W68" s="10"/>
      <c r="X68" s="11"/>
      <c r="Y68" s="7">
        <f>C68*D68+E68*F68+G68*H68+I68*J68+K68*L68+M68*N68+O68*P68+Q68*R68+S68*T68*0.25+U68*V68+W68*X68*0.25</f>
        <v>460</v>
      </c>
    </row>
    <row r="69" spans="2:25" ht="15" x14ac:dyDescent="0.2">
      <c r="B69" s="4" t="s">
        <v>18</v>
      </c>
      <c r="C69" s="2">
        <v>30</v>
      </c>
      <c r="D69" s="1">
        <v>6</v>
      </c>
      <c r="E69" s="1">
        <v>45</v>
      </c>
      <c r="F69" s="1">
        <v>5</v>
      </c>
      <c r="G69" s="2">
        <v>70</v>
      </c>
      <c r="H69" s="1">
        <v>6</v>
      </c>
      <c r="I69" s="1">
        <v>50</v>
      </c>
      <c r="J69" s="1">
        <v>6</v>
      </c>
      <c r="K69" s="2">
        <v>20</v>
      </c>
      <c r="M69" s="1">
        <v>60</v>
      </c>
      <c r="O69" s="10">
        <v>55</v>
      </c>
      <c r="Q69" s="1">
        <v>50</v>
      </c>
      <c r="S69" s="10">
        <v>35</v>
      </c>
      <c r="T69" s="1">
        <v>50</v>
      </c>
      <c r="U69" s="1">
        <v>25</v>
      </c>
      <c r="W69" s="10">
        <v>38</v>
      </c>
      <c r="X69" s="11"/>
      <c r="Y69" s="7">
        <f>C69*D69+E69*F69+G69*H69+I69*J69+K69*L69+M69*N69+O69*P69+Q69*R69+S69*T69*0.25+U69*V69+W69*X69*0.25</f>
        <v>1562.5</v>
      </c>
    </row>
    <row r="70" spans="2:25" ht="15" x14ac:dyDescent="0.2">
      <c r="B70" s="4" t="s">
        <v>19</v>
      </c>
      <c r="C70" s="2">
        <v>30</v>
      </c>
      <c r="D70" s="1">
        <v>6</v>
      </c>
      <c r="E70" s="1">
        <v>40</v>
      </c>
      <c r="F70" s="1">
        <v>6</v>
      </c>
      <c r="G70" s="2">
        <v>70</v>
      </c>
      <c r="H70" s="1">
        <v>6</v>
      </c>
      <c r="I70" s="1">
        <v>50</v>
      </c>
      <c r="J70" s="1">
        <v>6</v>
      </c>
      <c r="K70" s="2">
        <v>20</v>
      </c>
      <c r="M70" s="1">
        <v>50</v>
      </c>
      <c r="O70" s="10">
        <v>55</v>
      </c>
      <c r="Q70" s="1">
        <v>60</v>
      </c>
      <c r="S70" s="10">
        <v>35</v>
      </c>
      <c r="T70" s="1">
        <v>50</v>
      </c>
      <c r="U70" s="1">
        <v>25</v>
      </c>
      <c r="W70" s="10">
        <v>38</v>
      </c>
      <c r="X70" s="11"/>
      <c r="Y70" s="7">
        <f>C70*D70+E70*F70+G70*H70+I70*J70+K70*L70+M70*N70+O70*P70+Q70*R70+S70*T70*0.25+U70*V70+W70*X70*0.25</f>
        <v>1577.5</v>
      </c>
    </row>
    <row r="71" spans="2:25" ht="15" x14ac:dyDescent="0.2">
      <c r="B71" s="4" t="s">
        <v>20</v>
      </c>
      <c r="C71" s="2">
        <v>30</v>
      </c>
      <c r="D71" s="1">
        <v>6</v>
      </c>
      <c r="E71" s="1">
        <v>40</v>
      </c>
      <c r="F71" s="1">
        <v>6</v>
      </c>
      <c r="G71" s="2">
        <v>70</v>
      </c>
      <c r="H71" s="1">
        <v>6</v>
      </c>
      <c r="I71" s="1">
        <v>50</v>
      </c>
      <c r="J71" s="1">
        <v>6</v>
      </c>
      <c r="K71" s="2">
        <v>20</v>
      </c>
      <c r="M71" s="1">
        <v>50</v>
      </c>
      <c r="O71" s="10">
        <v>55</v>
      </c>
      <c r="Q71" s="1">
        <v>60</v>
      </c>
      <c r="S71" s="10">
        <v>35</v>
      </c>
      <c r="T71" s="1">
        <v>50</v>
      </c>
      <c r="U71" s="1">
        <v>25</v>
      </c>
      <c r="W71" s="10">
        <v>38</v>
      </c>
      <c r="X71" s="11"/>
      <c r="Y71" s="7">
        <f>C71*D71+E71*F71+G71*H71+I71*J71+K71*L71+M71*N71+O71*P71+Q71*R71+S71*T71*0.25+U71*V71+W71*X71*0.25</f>
        <v>1577.5</v>
      </c>
    </row>
    <row r="72" spans="2:25" ht="15.75" thickBot="1" x14ac:dyDescent="0.25">
      <c r="B72" s="4" t="s">
        <v>21</v>
      </c>
      <c r="C72" s="2">
        <v>30</v>
      </c>
      <c r="D72" s="1">
        <v>6</v>
      </c>
      <c r="E72" s="1">
        <v>40</v>
      </c>
      <c r="F72" s="1">
        <v>6</v>
      </c>
      <c r="G72" s="2">
        <v>70</v>
      </c>
      <c r="H72" s="1">
        <v>6</v>
      </c>
      <c r="I72" s="1">
        <v>50</v>
      </c>
      <c r="J72" s="1">
        <v>6</v>
      </c>
      <c r="K72" s="2">
        <v>20</v>
      </c>
      <c r="M72" s="1">
        <v>50</v>
      </c>
      <c r="O72" s="15">
        <v>55</v>
      </c>
      <c r="P72" s="16"/>
      <c r="Q72" s="16">
        <v>60</v>
      </c>
      <c r="R72" s="16"/>
      <c r="S72" s="15">
        <v>35</v>
      </c>
      <c r="T72" s="16">
        <v>50</v>
      </c>
      <c r="U72" s="16">
        <v>25</v>
      </c>
      <c r="V72" s="16"/>
      <c r="W72" s="15">
        <v>38</v>
      </c>
      <c r="X72" s="17"/>
      <c r="Y72" s="7">
        <f>C72*D72+E72*F72+G72*H72+I72*J72+K72*L72+M72*N72+O72*P72+Q72*R72+S72*T72*0.25+U72*V72+W72*X72*0.25</f>
        <v>1577.5</v>
      </c>
    </row>
    <row r="73" spans="2:25" ht="15.75" thickBot="1" x14ac:dyDescent="0.25">
      <c r="B73" s="9" t="s">
        <v>4</v>
      </c>
      <c r="C73" s="20">
        <f>SUMPRODUCT(C68:C72,D68:D72)</f>
        <v>880</v>
      </c>
      <c r="D73" s="14"/>
      <c r="E73" s="14">
        <f>SUMPRODUCT(E68:E72,F68:F72)</f>
        <v>1245</v>
      </c>
      <c r="F73" s="14"/>
      <c r="G73" s="14">
        <f>SUMPRODUCT(G68:G72,H68:H72)</f>
        <v>1680</v>
      </c>
      <c r="H73" s="14"/>
      <c r="I73" s="14">
        <f>SUMPRODUCT(I68:I72,J68:J72)</f>
        <v>1200</v>
      </c>
      <c r="J73" s="14"/>
      <c r="K73" s="14">
        <f>SUMPRODUCT(K68:K72,L68:L72)</f>
        <v>0</v>
      </c>
      <c r="L73" s="14"/>
      <c r="M73" s="14">
        <f>SUMPRODUCT(M68:M72,N68:N72)</f>
        <v>0</v>
      </c>
      <c r="N73" s="14"/>
      <c r="O73" s="18">
        <f>SUMPRODUCT(O68:O72,P68:P72)</f>
        <v>0</v>
      </c>
      <c r="P73" s="18"/>
      <c r="Q73" s="18">
        <f>SUMPRODUCT(Q68:Q72,R68:R72)</f>
        <v>0</v>
      </c>
      <c r="R73" s="18"/>
      <c r="S73" s="18">
        <f>SUMPRODUCT(S68:S72,T68:T72)*0.25</f>
        <v>1750</v>
      </c>
      <c r="T73" s="18"/>
      <c r="U73" s="18">
        <f>SUMPRODUCT(U68:U72,V68:V72)</f>
        <v>0</v>
      </c>
      <c r="V73" s="18"/>
      <c r="W73" s="18">
        <f>SUMPRODUCT(W68:W72,X68:X72)*0.25</f>
        <v>0</v>
      </c>
      <c r="X73" s="18"/>
      <c r="Y73" s="13">
        <f>SUM(Y68:Y72)</f>
        <v>6755</v>
      </c>
    </row>
    <row r="74" spans="2:25" ht="15.75" thickBot="1" x14ac:dyDescent="0.25">
      <c r="B74" s="8" t="s">
        <v>6</v>
      </c>
      <c r="C74" s="45">
        <f>C73-C11</f>
        <v>-80</v>
      </c>
      <c r="D74" s="46"/>
      <c r="E74" s="45">
        <f>E73-E11</f>
        <v>-355</v>
      </c>
      <c r="F74" s="46"/>
      <c r="G74" s="45">
        <f>G73-G11</f>
        <v>40</v>
      </c>
      <c r="H74" s="46"/>
      <c r="I74" s="45">
        <f>I73-I11</f>
        <v>456</v>
      </c>
      <c r="J74" s="46"/>
      <c r="K74" s="45">
        <f>K73-K11</f>
        <v>0</v>
      </c>
      <c r="L74" s="46"/>
      <c r="M74" s="45">
        <f>M73-M11</f>
        <v>0</v>
      </c>
      <c r="N74" s="46"/>
      <c r="O74" s="45">
        <f>O73-O11</f>
        <v>-660</v>
      </c>
      <c r="P74" s="46"/>
      <c r="Q74" s="45">
        <f>Q73-Q11</f>
        <v>-924</v>
      </c>
      <c r="R74" s="46"/>
      <c r="S74" s="45">
        <f>S73-S11</f>
        <v>1050</v>
      </c>
      <c r="T74" s="46"/>
      <c r="U74" s="45">
        <f>U73-U11</f>
        <v>0</v>
      </c>
      <c r="V74" s="46"/>
      <c r="W74" s="45">
        <f>W73-W11</f>
        <v>0</v>
      </c>
      <c r="X74" s="46"/>
      <c r="Y74" s="19">
        <f>Y73-Y11</f>
        <v>-2183</v>
      </c>
    </row>
    <row r="75" spans="2:25" ht="15" x14ac:dyDescent="0.2"/>
    <row r="76" spans="2:25" ht="15" x14ac:dyDescent="0.2"/>
    <row r="77" spans="2:25" ht="15.75" thickBot="1" x14ac:dyDescent="0.25"/>
    <row r="78" spans="2:25" x14ac:dyDescent="0.2">
      <c r="B78" s="3" t="s">
        <v>5</v>
      </c>
      <c r="C78" s="47" t="s">
        <v>3</v>
      </c>
      <c r="D78" s="48"/>
      <c r="E78" s="48" t="s">
        <v>45</v>
      </c>
      <c r="F78" s="49"/>
      <c r="G78" s="47" t="s">
        <v>2</v>
      </c>
      <c r="H78" s="48"/>
      <c r="I78" s="48" t="s">
        <v>29</v>
      </c>
      <c r="J78" s="49"/>
      <c r="K78" s="47" t="s">
        <v>39</v>
      </c>
      <c r="L78" s="48"/>
      <c r="M78" s="48" t="s">
        <v>40</v>
      </c>
      <c r="N78" s="48"/>
      <c r="O78" s="50" t="s">
        <v>51</v>
      </c>
      <c r="P78" s="42"/>
      <c r="Q78" s="42" t="s">
        <v>22</v>
      </c>
      <c r="R78" s="42"/>
      <c r="S78" s="50" t="s">
        <v>41</v>
      </c>
      <c r="T78" s="42"/>
      <c r="U78" s="42" t="s">
        <v>55</v>
      </c>
      <c r="V78" s="42"/>
      <c r="W78" s="43" t="s">
        <v>42</v>
      </c>
      <c r="X78" s="44"/>
      <c r="Y78" s="6" t="s">
        <v>14</v>
      </c>
    </row>
    <row r="79" spans="2:25" ht="15" x14ac:dyDescent="0.2">
      <c r="B79" s="5">
        <v>46083</v>
      </c>
      <c r="C79" s="25" t="s">
        <v>0</v>
      </c>
      <c r="D79" s="22" t="s">
        <v>1</v>
      </c>
      <c r="E79" s="22" t="s">
        <v>0</v>
      </c>
      <c r="F79" s="26" t="s">
        <v>1</v>
      </c>
      <c r="G79" s="25" t="s">
        <v>0</v>
      </c>
      <c r="H79" s="22" t="s">
        <v>1</v>
      </c>
      <c r="I79" s="22" t="s">
        <v>0</v>
      </c>
      <c r="J79" s="26" t="s">
        <v>1</v>
      </c>
      <c r="K79" s="25" t="s">
        <v>0</v>
      </c>
      <c r="L79" s="22" t="s">
        <v>1</v>
      </c>
      <c r="M79" s="22" t="s">
        <v>0</v>
      </c>
      <c r="N79" s="22" t="s">
        <v>1</v>
      </c>
      <c r="O79" s="23" t="s">
        <v>0</v>
      </c>
      <c r="P79" s="24" t="s">
        <v>1</v>
      </c>
      <c r="Q79" s="22" t="s">
        <v>0</v>
      </c>
      <c r="R79" s="22" t="s">
        <v>1</v>
      </c>
      <c r="S79" s="21" t="s">
        <v>0</v>
      </c>
      <c r="T79" s="22" t="s">
        <v>1</v>
      </c>
      <c r="U79" s="24" t="s">
        <v>0</v>
      </c>
      <c r="V79" s="24" t="s">
        <v>1</v>
      </c>
      <c r="W79" s="21" t="s">
        <v>0</v>
      </c>
      <c r="X79" s="27" t="s">
        <v>1</v>
      </c>
      <c r="Y79" s="28"/>
    </row>
    <row r="80" spans="2:25" ht="15" x14ac:dyDescent="0.2">
      <c r="B80" s="4" t="s">
        <v>17</v>
      </c>
      <c r="C80" s="2">
        <v>16</v>
      </c>
      <c r="E80" s="1">
        <v>30</v>
      </c>
      <c r="G80" s="2"/>
      <c r="I80" s="1">
        <v>20</v>
      </c>
      <c r="J80" s="1">
        <v>10</v>
      </c>
      <c r="K80" s="2"/>
      <c r="M80" s="1">
        <v>40</v>
      </c>
      <c r="N80" s="1">
        <v>10</v>
      </c>
      <c r="O80" s="10"/>
      <c r="S80" s="10"/>
      <c r="U80" s="1">
        <v>16</v>
      </c>
      <c r="W80" s="10"/>
      <c r="X80" s="11"/>
      <c r="Y80" s="7">
        <f>C80*D80+E80*F80+G80*H80+I80*J80+K80*L80+M80*N80+O80*P80+Q80*R80+S80*T80*0.25+U80*V80+W80*X80*0.25</f>
        <v>600</v>
      </c>
    </row>
    <row r="81" spans="2:25" ht="15" x14ac:dyDescent="0.2">
      <c r="B81" s="4" t="s">
        <v>18</v>
      </c>
      <c r="C81" s="2">
        <v>30</v>
      </c>
      <c r="E81" s="1">
        <v>45</v>
      </c>
      <c r="G81" s="2">
        <v>70</v>
      </c>
      <c r="I81" s="1">
        <v>40</v>
      </c>
      <c r="J81" s="1">
        <v>8</v>
      </c>
      <c r="K81" s="2">
        <v>20</v>
      </c>
      <c r="M81" s="1">
        <v>50</v>
      </c>
      <c r="N81" s="1">
        <v>8</v>
      </c>
      <c r="O81" s="10">
        <v>55</v>
      </c>
      <c r="Q81" s="1">
        <v>50</v>
      </c>
      <c r="S81" s="10">
        <v>35</v>
      </c>
      <c r="U81" s="1">
        <v>25</v>
      </c>
      <c r="W81" s="10">
        <v>38</v>
      </c>
      <c r="X81" s="11">
        <v>25</v>
      </c>
      <c r="Y81" s="7">
        <f>C81*D81+E81*F81+G81*H81+I81*J81+K81*L81+M81*N81+O81*P81+Q81*R81+S81*T81*0.25+U81*V81+W81*X81*0.25</f>
        <v>957.5</v>
      </c>
    </row>
    <row r="82" spans="2:25" ht="15" x14ac:dyDescent="0.2">
      <c r="B82" s="4" t="s">
        <v>19</v>
      </c>
      <c r="C82" s="2">
        <v>30</v>
      </c>
      <c r="E82" s="1">
        <v>40</v>
      </c>
      <c r="G82" s="2">
        <v>70</v>
      </c>
      <c r="I82" s="1">
        <v>40</v>
      </c>
      <c r="J82" s="1">
        <v>8</v>
      </c>
      <c r="K82" s="2">
        <v>20</v>
      </c>
      <c r="M82" s="1">
        <v>50</v>
      </c>
      <c r="N82" s="1">
        <v>8</v>
      </c>
      <c r="O82" s="10">
        <v>55</v>
      </c>
      <c r="Q82" s="1">
        <v>60</v>
      </c>
      <c r="S82" s="10">
        <v>35</v>
      </c>
      <c r="U82" s="1">
        <v>25</v>
      </c>
      <c r="W82" s="10">
        <v>38</v>
      </c>
      <c r="X82" s="11">
        <v>20</v>
      </c>
      <c r="Y82" s="7">
        <f>C82*D82+E82*F82+G82*H82+I82*J82+K82*L82+M82*N82+O82*P82+Q82*R82+S82*T82*0.25+U82*V82+W82*X82*0.25</f>
        <v>910</v>
      </c>
    </row>
    <row r="83" spans="2:25" ht="15" x14ac:dyDescent="0.2">
      <c r="B83" s="4" t="s">
        <v>20</v>
      </c>
      <c r="C83" s="2">
        <v>30</v>
      </c>
      <c r="E83" s="1">
        <v>40</v>
      </c>
      <c r="G83" s="2">
        <v>70</v>
      </c>
      <c r="I83" s="1">
        <v>40</v>
      </c>
      <c r="J83" s="1">
        <v>8</v>
      </c>
      <c r="K83" s="2">
        <v>20</v>
      </c>
      <c r="M83" s="1">
        <v>50</v>
      </c>
      <c r="N83" s="1">
        <v>8</v>
      </c>
      <c r="O83" s="10">
        <v>55</v>
      </c>
      <c r="Q83" s="1">
        <v>60</v>
      </c>
      <c r="S83" s="10">
        <v>35</v>
      </c>
      <c r="U83" s="1">
        <v>25</v>
      </c>
      <c r="W83" s="10">
        <v>38</v>
      </c>
      <c r="X83" s="11"/>
      <c r="Y83" s="7">
        <f>C83*D83+E83*F83+G83*H83+I83*J83+K83*L83+M83*N83+O83*P83+Q83*R83+S83*T83*0.25+U83*V83+W83*X83*0.25</f>
        <v>720</v>
      </c>
    </row>
    <row r="84" spans="2:25" ht="15.75" thickBot="1" x14ac:dyDescent="0.25">
      <c r="B84" s="4" t="s">
        <v>21</v>
      </c>
      <c r="C84" s="2">
        <v>30</v>
      </c>
      <c r="E84" s="1">
        <v>40</v>
      </c>
      <c r="G84" s="2">
        <v>70</v>
      </c>
      <c r="I84" s="1">
        <v>40</v>
      </c>
      <c r="J84" s="1">
        <v>4</v>
      </c>
      <c r="K84" s="2">
        <v>20</v>
      </c>
      <c r="M84" s="1">
        <v>50</v>
      </c>
      <c r="O84" s="15">
        <v>55</v>
      </c>
      <c r="P84" s="16"/>
      <c r="Q84" s="16">
        <v>60</v>
      </c>
      <c r="R84" s="16"/>
      <c r="S84" s="15">
        <v>35</v>
      </c>
      <c r="T84" s="16"/>
      <c r="U84" s="16">
        <v>25</v>
      </c>
      <c r="V84" s="16"/>
      <c r="W84" s="15">
        <v>38</v>
      </c>
      <c r="X84" s="17"/>
      <c r="Y84" s="7">
        <f>C84*D84+E84*F84+G84*H84+I84*J84+K84*L84+M84*N84+O84*P84+Q84*R84+S84*T84*0.25+U84*V84+W84*X84*0.25</f>
        <v>160</v>
      </c>
    </row>
    <row r="85" spans="2:25" ht="15.75" thickBot="1" x14ac:dyDescent="0.25">
      <c r="B85" s="9" t="s">
        <v>4</v>
      </c>
      <c r="C85" s="20">
        <f>SUMPRODUCT(C80:C84,D80:D84)</f>
        <v>0</v>
      </c>
      <c r="D85" s="14"/>
      <c r="E85" s="14">
        <f>SUMPRODUCT(E80:E84,F80:F84)</f>
        <v>0</v>
      </c>
      <c r="F85" s="14"/>
      <c r="G85" s="14">
        <f>SUMPRODUCT(G80:G84,H80:H84)</f>
        <v>0</v>
      </c>
      <c r="H85" s="14"/>
      <c r="I85" s="14">
        <f>SUMPRODUCT(I80:I84,J80:J84)</f>
        <v>1320</v>
      </c>
      <c r="J85" s="14"/>
      <c r="K85" s="14">
        <f>SUMPRODUCT(K80:K84,L80:L84)</f>
        <v>0</v>
      </c>
      <c r="L85" s="14"/>
      <c r="M85" s="14">
        <f>SUMPRODUCT(M80:M84,N80:N84)</f>
        <v>1600</v>
      </c>
      <c r="N85" s="14"/>
      <c r="O85" s="18">
        <f>SUMPRODUCT(O80:O84,P80:P84)</f>
        <v>0</v>
      </c>
      <c r="P85" s="18"/>
      <c r="Q85" s="18">
        <f>SUMPRODUCT(Q80:Q84,R80:R84)</f>
        <v>0</v>
      </c>
      <c r="R85" s="18"/>
      <c r="S85" s="18">
        <f>SUMPRODUCT(S80:S84,T80:T84)*0.25</f>
        <v>0</v>
      </c>
      <c r="T85" s="18"/>
      <c r="U85" s="18">
        <f>SUMPRODUCT(U80:U84,V80:V84)</f>
        <v>0</v>
      </c>
      <c r="V85" s="18"/>
      <c r="W85" s="18">
        <f>SUMPRODUCT(W80:W84,X80:X84)*0.25</f>
        <v>427.5</v>
      </c>
      <c r="X85" s="18"/>
      <c r="Y85" s="13">
        <f>SUM(Y80:Y84)</f>
        <v>3347.5</v>
      </c>
    </row>
    <row r="86" spans="2:25" ht="15.75" thickBot="1" x14ac:dyDescent="0.25">
      <c r="B86" s="8" t="s">
        <v>6</v>
      </c>
      <c r="C86" s="45">
        <f>C85-C23</f>
        <v>0</v>
      </c>
      <c r="D86" s="46"/>
      <c r="E86" s="45">
        <f>E85-E23</f>
        <v>0</v>
      </c>
      <c r="F86" s="46"/>
      <c r="G86" s="45">
        <f>G85-G23</f>
        <v>0</v>
      </c>
      <c r="H86" s="46"/>
      <c r="I86" s="45">
        <f>I85-I23</f>
        <v>1320</v>
      </c>
      <c r="J86" s="46"/>
      <c r="K86" s="45">
        <f>K85-K23</f>
        <v>0</v>
      </c>
      <c r="L86" s="46"/>
      <c r="M86" s="45">
        <f>M85-M23</f>
        <v>1600</v>
      </c>
      <c r="N86" s="46"/>
      <c r="O86" s="45">
        <f>O85-O23</f>
        <v>0</v>
      </c>
      <c r="P86" s="46"/>
      <c r="Q86" s="45">
        <f>Q85-Q23</f>
        <v>0</v>
      </c>
      <c r="R86" s="46"/>
      <c r="S86" s="45">
        <f>S85-S23</f>
        <v>0</v>
      </c>
      <c r="T86" s="46"/>
      <c r="U86" s="45">
        <f>U85-U23</f>
        <v>0</v>
      </c>
      <c r="V86" s="46"/>
      <c r="W86" s="45">
        <f>W85-W23</f>
        <v>427.5</v>
      </c>
      <c r="X86" s="46"/>
      <c r="Y86" s="19">
        <f>Y85-Y23</f>
        <v>3347.5</v>
      </c>
    </row>
    <row r="87" spans="2:25" ht="15" x14ac:dyDescent="0.2"/>
    <row r="88" spans="2:25" x14ac:dyDescent="0.2">
      <c r="B88" s="29" t="s">
        <v>47</v>
      </c>
    </row>
    <row r="89" spans="2:25" x14ac:dyDescent="0.2">
      <c r="B89" s="1" t="s">
        <v>3</v>
      </c>
    </row>
    <row r="90" spans="2:25" x14ac:dyDescent="0.2">
      <c r="B90" s="1" t="s">
        <v>29</v>
      </c>
    </row>
    <row r="91" spans="2:25" ht="15" x14ac:dyDescent="0.2">
      <c r="B91" s="1" t="s">
        <v>48</v>
      </c>
    </row>
    <row r="92" spans="2:25" x14ac:dyDescent="0.2">
      <c r="B92" s="1" t="s">
        <v>2</v>
      </c>
    </row>
    <row r="93" spans="2:25" ht="15" x14ac:dyDescent="0.2">
      <c r="B93" s="1" t="s">
        <v>39</v>
      </c>
    </row>
    <row r="94" spans="2:25" ht="15" x14ac:dyDescent="0.2">
      <c r="B94" s="1" t="s">
        <v>50</v>
      </c>
    </row>
    <row r="95" spans="2:25" ht="15" x14ac:dyDescent="0.2">
      <c r="B95" s="1" t="s">
        <v>49</v>
      </c>
    </row>
    <row r="96" spans="2:25" ht="15" x14ac:dyDescent="0.2">
      <c r="B96" s="1" t="s">
        <v>51</v>
      </c>
    </row>
    <row r="97" spans="2:2" ht="15" x14ac:dyDescent="0.2">
      <c r="B97" s="1" t="s">
        <v>52</v>
      </c>
    </row>
    <row r="101" spans="2:2" ht="15" x14ac:dyDescent="0.2">
      <c r="B101" s="1" t="s">
        <v>53</v>
      </c>
    </row>
    <row r="102" spans="2:2" ht="15" x14ac:dyDescent="0.2">
      <c r="B102" s="1" t="s">
        <v>54</v>
      </c>
    </row>
    <row r="103" spans="2:2" ht="15" x14ac:dyDescent="0.2">
      <c r="B103" s="1" t="s">
        <v>56</v>
      </c>
    </row>
    <row r="104" spans="2:2" ht="15" x14ac:dyDescent="0.2"/>
    <row r="105" spans="2:2" ht="15" x14ac:dyDescent="0.2"/>
    <row r="106" spans="2:2" ht="15" x14ac:dyDescent="0.2"/>
    <row r="107" spans="2:2" ht="15" x14ac:dyDescent="0.2"/>
  </sheetData>
  <mergeCells count="176">
    <mergeCell ref="U54:V54"/>
    <mergeCell ref="W54:X54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24:V24"/>
    <mergeCell ref="C24:D24"/>
    <mergeCell ref="E24:F24"/>
    <mergeCell ref="G24:H24"/>
    <mergeCell ref="I24:J24"/>
    <mergeCell ref="K24:L24"/>
    <mergeCell ref="W24:X24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M24:N24"/>
    <mergeCell ref="O24:P24"/>
    <mergeCell ref="Q24:R24"/>
    <mergeCell ref="S24:T24"/>
    <mergeCell ref="U14:V14"/>
    <mergeCell ref="C14:D14"/>
    <mergeCell ref="E14:F14"/>
    <mergeCell ref="G14:H14"/>
    <mergeCell ref="I14:J14"/>
    <mergeCell ref="K14:L14"/>
    <mergeCell ref="W14:X14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M14:N14"/>
    <mergeCell ref="O14:P14"/>
    <mergeCell ref="Q14:R14"/>
    <mergeCell ref="S14:T14"/>
    <mergeCell ref="U4:V4"/>
    <mergeCell ref="W4:X4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C4:D4"/>
    <mergeCell ref="E4:F4"/>
    <mergeCell ref="Q4:R4"/>
    <mergeCell ref="S4:T4"/>
    <mergeCell ref="G4:H4"/>
    <mergeCell ref="I4:J4"/>
    <mergeCell ref="K4:L4"/>
    <mergeCell ref="M4:N4"/>
    <mergeCell ref="O4:P4"/>
    <mergeCell ref="U66:V66"/>
    <mergeCell ref="W66:X66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W34:X34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M34:N34"/>
    <mergeCell ref="O34:P34"/>
    <mergeCell ref="Q34:R34"/>
    <mergeCell ref="S34:T34"/>
    <mergeCell ref="U34:V34"/>
    <mergeCell ref="C34:D34"/>
    <mergeCell ref="E34:F34"/>
    <mergeCell ref="G34:H34"/>
    <mergeCell ref="I34:J34"/>
    <mergeCell ref="K34:L34"/>
    <mergeCell ref="U44:V44"/>
    <mergeCell ref="W44:X44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78:V78"/>
    <mergeCell ref="W78:X78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9B01-708D-4E48-879F-5C954117EC6F}">
  <sheetPr>
    <tabColor rgb="FF9A8878"/>
  </sheetPr>
  <dimension ref="B1:C26"/>
  <sheetViews>
    <sheetView workbookViewId="0">
      <selection activeCell="C7" sqref="C7"/>
    </sheetView>
  </sheetViews>
  <sheetFormatPr baseColWidth="10" defaultColWidth="10.83203125" defaultRowHeight="16" x14ac:dyDescent="0.2"/>
  <cols>
    <col min="1" max="1" width="1.1640625" customWidth="1"/>
    <col min="2" max="2" width="4.1640625" bestFit="1" customWidth="1"/>
    <col min="3" max="3" width="10.83203125" customWidth="1"/>
  </cols>
  <sheetData>
    <row r="1" spans="2:3" ht="21" x14ac:dyDescent="0.25">
      <c r="B1" s="272"/>
    </row>
    <row r="2" spans="2:3" x14ac:dyDescent="0.2">
      <c r="B2" s="274" t="s">
        <v>23</v>
      </c>
      <c r="C2" t="s">
        <v>28</v>
      </c>
    </row>
    <row r="3" spans="2:3" ht="15" x14ac:dyDescent="0.2">
      <c r="B3" s="12" t="s">
        <v>24</v>
      </c>
      <c r="C3" t="s">
        <v>15</v>
      </c>
    </row>
    <row r="4" spans="2:3" ht="15" x14ac:dyDescent="0.2">
      <c r="B4" s="12" t="s">
        <v>25</v>
      </c>
      <c r="C4" t="s">
        <v>16</v>
      </c>
    </row>
    <row r="5" spans="2:3" ht="15" x14ac:dyDescent="0.2">
      <c r="B5" s="12" t="s">
        <v>26</v>
      </c>
    </row>
    <row r="6" spans="2:3" ht="15" x14ac:dyDescent="0.2">
      <c r="B6" s="12" t="s">
        <v>27</v>
      </c>
    </row>
    <row r="7" spans="2:3" ht="15" x14ac:dyDescent="0.2">
      <c r="B7" s="12" t="s">
        <v>43</v>
      </c>
      <c r="C7" t="s">
        <v>44</v>
      </c>
    </row>
    <row r="9" spans="2:3" ht="15" x14ac:dyDescent="0.2">
      <c r="B9" t="s">
        <v>7</v>
      </c>
    </row>
    <row r="10" spans="2:3" ht="15" x14ac:dyDescent="0.2">
      <c r="C10" t="s">
        <v>9</v>
      </c>
    </row>
    <row r="11" spans="2:3" ht="15" x14ac:dyDescent="0.2">
      <c r="C11" t="s">
        <v>8</v>
      </c>
    </row>
    <row r="12" spans="2:3" ht="15" x14ac:dyDescent="0.2">
      <c r="C12" t="s">
        <v>13</v>
      </c>
    </row>
    <row r="13" spans="2:3" ht="15" x14ac:dyDescent="0.2">
      <c r="C13" t="s">
        <v>10</v>
      </c>
    </row>
    <row r="14" spans="2:3" ht="15" x14ac:dyDescent="0.2">
      <c r="C14" t="s">
        <v>11</v>
      </c>
    </row>
    <row r="15" spans="2:3" ht="15" x14ac:dyDescent="0.2">
      <c r="C15" t="s">
        <v>12</v>
      </c>
    </row>
    <row r="17" spans="2:3" x14ac:dyDescent="0.2">
      <c r="B17" s="56" t="s">
        <v>167</v>
      </c>
    </row>
    <row r="18" spans="2:3" x14ac:dyDescent="0.2">
      <c r="C18" t="s">
        <v>168</v>
      </c>
    </row>
    <row r="19" spans="2:3" x14ac:dyDescent="0.2">
      <c r="C19" t="s">
        <v>169</v>
      </c>
    </row>
    <row r="20" spans="2:3" x14ac:dyDescent="0.2">
      <c r="C20" t="s">
        <v>170</v>
      </c>
    </row>
    <row r="21" spans="2:3" x14ac:dyDescent="0.2">
      <c r="C21" t="s">
        <v>171</v>
      </c>
    </row>
    <row r="22" spans="2:3" x14ac:dyDescent="0.2">
      <c r="B22" s="12" t="s">
        <v>177</v>
      </c>
      <c r="C22" t="s">
        <v>172</v>
      </c>
    </row>
    <row r="23" spans="2:3" x14ac:dyDescent="0.2">
      <c r="B23" s="12" t="s">
        <v>178</v>
      </c>
      <c r="C23" t="s">
        <v>173</v>
      </c>
    </row>
    <row r="24" spans="2:3" x14ac:dyDescent="0.2">
      <c r="C24" t="s">
        <v>174</v>
      </c>
    </row>
    <row r="25" spans="2:3" x14ac:dyDescent="0.2">
      <c r="C25" t="s">
        <v>175</v>
      </c>
    </row>
    <row r="26" spans="2:3" x14ac:dyDescent="0.2">
      <c r="C26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E6E75"/>
  </sheetPr>
  <dimension ref="A1:M55"/>
  <sheetViews>
    <sheetView showGridLines="0" zoomScaleNormal="100" workbookViewId="0">
      <selection activeCell="B1" sqref="B1"/>
    </sheetView>
  </sheetViews>
  <sheetFormatPr baseColWidth="10" defaultColWidth="8.83203125" defaultRowHeight="16" x14ac:dyDescent="0.2"/>
  <cols>
    <col min="1" max="1" width="2.6640625" customWidth="1"/>
    <col min="2" max="13" width="10.33203125" customWidth="1"/>
  </cols>
  <sheetData>
    <row r="1" ht="21" customHeight="1" x14ac:dyDescent="0.2">
      <c r="B1" s="296" t="inlineStr">
        <is>
          <t xml:space="preserve">DASHBOARD — HELSE 2026</t>
        </is>
      </c>
    </row>
    <row r="2" ht="14" customHeight="1" x14ac:dyDescent="0.2">
      <c r="B2" s="297" t="inlineStr">
        <is>
          <t xml:space="preserve">Nøkkeltall samlet fra Dagslogg, Treningslogg, Vekt og Oversikt. Alt beregnes automatisk — ingen inntasting på dette arket.</t>
        </is>
      </c>
    </row>
    <row r="4" ht="18" customHeight="1" x14ac:dyDescent="0.2">
      <c r="B4" s="298" t="inlineStr">
        <is>
          <t xml:space="preserve">STATUS — HELE PERIODEN (UKE 31–51)</t>
        </is>
      </c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</row>
    <row r="6" ht="14" customHeight="1" x14ac:dyDescent="0.2">
      <c r="B6" s="299" t="inlineStr">
        <is>
          <t xml:space="preserve">VEKT NÅ</t>
        </is>
      </c>
      <c r="C6" s="299"/>
      <c r="D6" s="299" t="inlineStr">
        <is>
          <t xml:space="preserve">FAKTISK TAP HITTIL</t>
        </is>
      </c>
      <c r="E6" s="299"/>
      <c r="F6" s="299" t="inlineStr">
        <is>
          <t xml:space="preserve">LIVVIDDE NÅ</t>
        </is>
      </c>
      <c r="G6" s="299"/>
      <c r="H6" s="299" t="inlineStr">
        <is>
          <t xml:space="preserve">UNDERSKUDD HITTIL</t>
        </is>
      </c>
      <c r="I6" s="299"/>
      <c r="J6" s="299" t="inlineStr">
        <is>
          <t xml:space="preserve">MÅLOPPNÅELSE</t>
        </is>
      </c>
      <c r="K6" s="299"/>
      <c r="L6" s="299" t="inlineStr">
        <is>
          <t xml:space="preserve">FREMSKREVET SLUTTVEKT</t>
        </is>
      </c>
      <c r="M6" s="299"/>
    </row>
    <row r="7" ht="30" customHeight="1" x14ac:dyDescent="0.2">
      <c r="B7" s="301">
        <f>IFERROR(LOOKUP(2,1/(Dagslogg[Vekt]&lt;&gt;""),Dagslogg[Vekt]),"")</f>
        <v>77.5</v>
      </c>
      <c r="C7" s="301"/>
      <c r="D7" s="302">
        <f>IF(Vekt!$U$7="","",Vekt!$U$7)</f>
        <v>-0.0499999999999972</v>
      </c>
      <c r="E7" s="302"/>
      <c r="F7" s="303">
        <f>IFERROR(LOOKUP(2,1/(Dagslogg[Vidde]&lt;&gt;""),Dagslogg[Vidde]),"")</f>
        <v>88.5</v>
      </c>
      <c r="G7" s="303"/>
      <c r="H7" s="304">
        <f>Vekt!$U$4</f>
        <v>2100</v>
      </c>
      <c r="I7" s="304"/>
      <c r="J7" s="305">
        <f>IF(Vekt!$U$5="","",Vekt!$U$5)</f>
        <v>1.05</v>
      </c>
      <c r="K7" s="305"/>
      <c r="L7" s="301">
        <f>IF(Vekt!$U$10="","",Vekt!$E$5-Vekt!$U$10)</f>
        <v>60.79</v>
      </c>
      <c r="M7" s="301"/>
    </row>
    <row r="8" ht="14" customHeight="1" x14ac:dyDescent="0.2">
      <c r="B8" s="300" t="str">
        <f>"start: "&amp;Vekt!$E$5&amp;" kg"</f>
        <v xml:space="preserve">start: 77.45 kg</v>
      </c>
      <c r="C8" s="300"/>
      <c r="D8" s="300" t="str">
        <f>IF(Vekt!$U$6="","","estimert fra kcal: "&amp;ROUND(Vekt!$U$6,2)&amp;" kg")</f>
        <v xml:space="preserve">estimert fra kcal: 0.28 kg</v>
      </c>
      <c r="E8" s="300"/>
      <c r="F8" s="300" t="str">
        <f>IF(Vekt!$U$8="","","reduksjon: "&amp;ROUND(Vekt!$U$8,2)&amp;" cm (start "&amp;Vekt!$E$6&amp;")")</f>
        <v xml:space="preserve">reduksjon: 1.25 cm (start 90)</v>
      </c>
      <c r="G8" s="300"/>
      <c r="H8" s="300" t="str">
        <f>"≈ "&amp;ROUND(Vekt!$U$4/Vekt!$E$7*1000,0)&amp;" gram fett"</f>
        <v xml:space="preserve">≈ 280 gram fett</v>
      </c>
      <c r="I8" s="300"/>
      <c r="J8" s="300" t="inlineStr">
        <is>
          <t xml:space="preserve">underskudd vs. ukemål hittil</t>
        </is>
      </c>
      <c r="K8" s="300"/>
      <c r="L8" s="300" t="str">
        <f>"mål uke 51: "&amp;ROUND(Vekt!$E$5-Vekt!$U$9,1)&amp;" kg"</f>
        <v xml:space="preserve">mål uke 51: 61.6 kg</v>
      </c>
      <c r="M8" s="300"/>
    </row>
    <row r="10" ht="18" customHeight="1" x14ac:dyDescent="0.2">
      <c r="B10" s="298" t="str">
        <f>"DENNE UKEN — UKE "&amp;_xlfn.ISOWEEKNUM(TODAY())&amp;"  ·  "&amp;TEXT((TODAY()-WEEKDAY(TODAY(),3)),"dd.mm")&amp;"–"&amp;TEXT((TODAY()-WEEKDAY(TODAY(),3))+6,"dd.mm")</f>
        <v xml:space="preserve">DENNE UKEN — UKE 31  ·  27.07–02.08</v>
      </c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</row>
    <row r="12" ht="14" customHeight="1" x14ac:dyDescent="0.2">
      <c r="B12" s="299" t="inlineStr">
        <is>
          <t xml:space="preserve">ØKTER DENNE UKEN</t>
        </is>
      </c>
      <c r="C12" s="299"/>
      <c r="D12" s="299"/>
      <c r="E12" s="299"/>
      <c r="F12" s="299" t="inlineStr">
        <is>
          <t xml:space="preserve">KALORIUNDERSKUDD DENNE UKEN</t>
        </is>
      </c>
      <c r="G12" s="299"/>
      <c r="H12" s="299"/>
      <c r="I12" s="299"/>
      <c r="J12" s="299" t="inlineStr">
        <is>
          <t xml:space="preserve">DAGER LOGGET DENNE UKEN</t>
        </is>
      </c>
      <c r="K12" s="299"/>
      <c r="L12" s="299"/>
      <c r="M12" s="299"/>
    </row>
    <row r="13" ht="24" customHeight="1" x14ac:dyDescent="0.2">
      <c r="B13" s="306">
        <f>COUNTIFS(Treningslogg[Dato],"&gt;="&amp;(TODAY()-WEEKDAY(TODAY(),3)),Treningslogg[Dato],"&lt;="&amp;(TODAY()-WEEKDAY(TODAY(),3))+6,Treningslogg[Type],"&lt;&gt;")</f>
        <v>11</v>
      </c>
      <c r="C13" s="306"/>
      <c r="D13" s="306"/>
      <c r="E13" s="306"/>
      <c r="F13" s="307">
        <f>SUMIFS(Dagslogg[Minus],Dagslogg[Dato],"&gt;="&amp;(TODAY()-WEEKDAY(TODAY(),3)),Dagslogg[Dato],"&lt;="&amp;(TODAY()-WEEKDAY(TODAY(),3))+6)</f>
        <v>2100</v>
      </c>
      <c r="G13" s="307"/>
      <c r="H13" s="307"/>
      <c r="I13" s="307"/>
      <c r="J13" s="308">
        <f>COUNTIFS(Dagslogg[Dato],"&gt;="&amp;(TODAY()-WEEKDAY(TODAY(),3)),Dagslogg[Dato],"&lt;="&amp;(TODAY()-WEEKDAY(TODAY(),3))+6,Dagslogg[Minus],"&lt;&gt;")</f>
        <v>2</v>
      </c>
      <c r="K13" s="308"/>
      <c r="L13" s="308"/>
      <c r="M13" s="308"/>
    </row>
    <row r="14" ht="14" customHeight="1" x14ac:dyDescent="0.2">
      <c r="B14" s="300" t="inlineStr">
        <is>
          <t xml:space="preserve">program: 3 × styrke + løping (jf. Guide §12)</t>
        </is>
      </c>
      <c r="C14" s="300"/>
      <c r="D14" s="300"/>
      <c r="E14" s="300"/>
      <c r="F14" s="300" t="str">
        <f>IFERROR("mål: "&amp;(7*INDEX(Vekt!$T$14:$T$34,_xlfn.ISOWEEKNUM(TODAY())-30))&amp;" kcal for hele uken","")</f>
        <v xml:space="preserve">mål: 7000 kcal for hele uken</v>
      </c>
      <c r="G14" s="300"/>
      <c r="H14" s="300"/>
      <c r="I14" s="300"/>
      <c r="J14" s="300" t="inlineStr">
        <is>
          <t xml:space="preserve">dager med kalorier ført i Dagslogg</t>
        </is>
      </c>
      <c r="K14" s="300"/>
      <c r="L14" s="300"/>
      <c r="M14" s="300"/>
    </row>
    <row r="16" ht="18" customHeight="1" x14ac:dyDescent="0.2">
      <c r="B16" s="298" t="inlineStr">
        <is>
          <t xml:space="preserve">TRENING PER TYPE — HELE HØSTEN</t>
        </is>
      </c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</row>
    <row r="18" ht="16" customHeight="1" x14ac:dyDescent="0.2">
      <c r="B18" s="309" t="inlineStr">
        <is>
          <t xml:space="preserve">TYPE</t>
        </is>
      </c>
      <c r="C18" s="309"/>
      <c r="D18" s="310" t="inlineStr">
        <is>
          <t xml:space="preserve">ØKTER</t>
        </is>
      </c>
      <c r="E18" s="310" t="inlineStr">
        <is>
          <t xml:space="preserve">TIMER</t>
        </is>
      </c>
      <c r="F18" s="310" t="inlineStr">
        <is>
          <t xml:space="preserve">KM</t>
        </is>
      </c>
      <c r="G18" s="309"/>
      <c r="H18" s="309"/>
      <c r="I18" s="309"/>
      <c r="J18" s="309"/>
      <c r="K18" s="309"/>
      <c r="L18" s="309"/>
      <c r="M18" s="309"/>
    </row>
    <row r="19" ht="16" customHeight="1" x14ac:dyDescent="0.2">
      <c r="B19" s="330" t="inlineStr">
        <is>
          <t xml:space="preserve">Styrketrening</t>
        </is>
      </c>
      <c r="C19" s="330"/>
      <c r="D19" s="313">
        <f>COUNTIFS(Treningslogg[Type],$B19)</f>
        <v>3</v>
      </c>
      <c r="E19" s="314">
        <f>SUMIFS(Treningslogg[Varighet (min)],Treningslogg[Type],$B19)/60</f>
        <v>0</v>
      </c>
      <c r="F19" s="314">
        <f>SUMIFS(Treningslogg[Distanse (km)],Treningslogg[Type],$B19)</f>
        <v>0</v>
      </c>
      <c r="G19" s="331" t="str">
        <f>IF($D19=0,"",REPT("█",MAX(1,ROUND(14*$D19/MAX($D$19:$D$25),0))))</f>
        <v xml:space="preserve">██████████████</v>
      </c>
      <c r="H19" s="331"/>
      <c r="I19" s="331"/>
      <c r="J19" s="331"/>
      <c r="K19" s="331"/>
      <c r="L19" s="331"/>
      <c r="M19" s="331"/>
    </row>
    <row r="20" ht="16" customHeight="1" x14ac:dyDescent="0.2">
      <c r="B20" s="332" t="inlineStr">
        <is>
          <t xml:space="preserve">Løping</t>
        </is>
      </c>
      <c r="C20" s="332"/>
      <c r="D20" s="313">
        <f>COUNTIFS(Treningslogg[Type],$B20)</f>
        <v>2</v>
      </c>
      <c r="E20" s="314">
        <f>SUMIFS(Treningslogg[Varighet (min)],Treningslogg[Type],$B20)/60</f>
        <v>0</v>
      </c>
      <c r="F20" s="314">
        <f>SUMIFS(Treningslogg[Distanse (km)],Treningslogg[Type],$B20)</f>
        <v>0</v>
      </c>
      <c r="G20" s="333" t="str">
        <f>IF($D20=0,"",REPT("█",MAX(1,ROUND(14*$D20/MAX($D$19:$D$25),0))))</f>
        <v xml:space="preserve">█████████</v>
      </c>
      <c r="H20" s="333"/>
      <c r="I20" s="333"/>
      <c r="J20" s="333"/>
      <c r="K20" s="333"/>
      <c r="L20" s="333"/>
      <c r="M20" s="333"/>
    </row>
    <row r="21" ht="16" customHeight="1" x14ac:dyDescent="0.2">
      <c r="B21" s="334" t="inlineStr">
        <is>
          <t xml:space="preserve">Sykling</t>
        </is>
      </c>
      <c r="C21" s="334"/>
      <c r="D21" s="313">
        <f>COUNTIFS(Treningslogg[Type],$B21)</f>
        <v>2</v>
      </c>
      <c r="E21" s="314">
        <f>SUMIFS(Treningslogg[Varighet (min)],Treningslogg[Type],$B21)/60</f>
        <v>0</v>
      </c>
      <c r="F21" s="314">
        <f>SUMIFS(Treningslogg[Distanse (km)],Treningslogg[Type],$B21)</f>
        <v>0</v>
      </c>
      <c r="G21" s="335" t="str">
        <f>IF($D21=0,"",REPT("█",MAX(1,ROUND(14*$D21/MAX($D$19:$D$25),0))))</f>
        <v xml:space="preserve">█████████</v>
      </c>
      <c r="H21" s="335"/>
      <c r="I21" s="335"/>
      <c r="J21" s="335"/>
      <c r="K21" s="335"/>
      <c r="L21" s="335"/>
      <c r="M21" s="335"/>
    </row>
    <row r="22" ht="16" customHeight="1" x14ac:dyDescent="0.2">
      <c r="B22" s="336" t="inlineStr">
        <is>
          <t xml:space="preserve">Svømming</t>
        </is>
      </c>
      <c r="C22" s="336"/>
      <c r="D22" s="313">
        <f>COUNTIFS(Treningslogg[Type],$B22)</f>
        <v>1</v>
      </c>
      <c r="E22" s="314">
        <f>SUMIFS(Treningslogg[Varighet (min)],Treningslogg[Type],$B22)/60</f>
        <v>0</v>
      </c>
      <c r="F22" s="314">
        <f>SUMIFS(Treningslogg[Distanse (km)],Treningslogg[Type],$B22)</f>
        <v>0</v>
      </c>
      <c r="G22" s="337" t="str">
        <f>IF($D22=0,"",REPT("█",MAX(1,ROUND(14*$D22/MAX($D$19:$D$25),0))))</f>
        <v xml:space="preserve">█████</v>
      </c>
      <c r="H22" s="337"/>
      <c r="I22" s="337"/>
      <c r="J22" s="337"/>
      <c r="K22" s="337"/>
      <c r="L22" s="337"/>
      <c r="M22" s="337"/>
    </row>
    <row r="23" ht="16" customHeight="1" x14ac:dyDescent="0.2">
      <c r="B23" s="338" t="inlineStr">
        <is>
          <t xml:space="preserve">Karate</t>
        </is>
      </c>
      <c r="C23" s="338"/>
      <c r="D23" s="313">
        <f>COUNTIFS(Treningslogg[Type],$B23)</f>
        <v>1</v>
      </c>
      <c r="E23" s="314">
        <f>SUMIFS(Treningslogg[Varighet (min)],Treningslogg[Type],$B23)/60</f>
        <v>0</v>
      </c>
      <c r="F23" s="314">
        <f>SUMIFS(Treningslogg[Distanse (km)],Treningslogg[Type],$B23)</f>
        <v>0</v>
      </c>
      <c r="G23" s="339" t="str">
        <f>IF($D23=0,"",REPT("█",MAX(1,ROUND(14*$D23/MAX($D$19:$D$25),0))))</f>
        <v xml:space="preserve">█████</v>
      </c>
      <c r="H23" s="339"/>
      <c r="I23" s="339"/>
      <c r="J23" s="339"/>
      <c r="K23" s="339"/>
      <c r="L23" s="339"/>
      <c r="M23" s="339"/>
    </row>
    <row r="24" ht="16" customHeight="1" x14ac:dyDescent="0.2">
      <c r="B24" s="340" t="inlineStr">
        <is>
          <t xml:space="preserve">Klatring</t>
        </is>
      </c>
      <c r="C24" s="340"/>
      <c r="D24" s="313">
        <f>COUNTIFS(Treningslogg[Type],$B24)</f>
        <v>1</v>
      </c>
      <c r="E24" s="314">
        <f>SUMIFS(Treningslogg[Varighet (min)],Treningslogg[Type],$B24)/60</f>
        <v>0</v>
      </c>
      <c r="F24" s="314">
        <f>SUMIFS(Treningslogg[Distanse (km)],Treningslogg[Type],$B24)</f>
        <v>0</v>
      </c>
      <c r="G24" s="341" t="str">
        <f>IF($D24=0,"",REPT("█",MAX(1,ROUND(14*$D24/MAX($D$19:$D$25),0))))</f>
        <v xml:space="preserve">█████</v>
      </c>
      <c r="H24" s="341"/>
      <c r="I24" s="341"/>
      <c r="J24" s="341"/>
      <c r="K24" s="341"/>
      <c r="L24" s="341"/>
      <c r="M24" s="341"/>
    </row>
    <row r="25" ht="16" customHeight="1" x14ac:dyDescent="0.2">
      <c r="B25" s="342" t="inlineStr">
        <is>
          <t xml:space="preserve">Annet</t>
        </is>
      </c>
      <c r="C25" s="342"/>
      <c r="D25" s="313">
        <f>COUNTIFS(Treningslogg[Type],$B25)</f>
        <v>1</v>
      </c>
      <c r="E25" s="314">
        <f>SUMIFS(Treningslogg[Varighet (min)],Treningslogg[Type],$B25)/60</f>
        <v>0</v>
      </c>
      <c r="F25" s="314">
        <f>SUMIFS(Treningslogg[Distanse (km)],Treningslogg[Type],$B25)</f>
        <v>0</v>
      </c>
      <c r="G25" s="343" t="str">
        <f>IF($D25=0,"",REPT("█",MAX(1,ROUND(14*$D25/MAX($D$19:$D$25),0))))</f>
        <v xml:space="preserve">█████</v>
      </c>
      <c r="H25" s="343"/>
      <c r="I25" s="343"/>
      <c r="J25" s="343"/>
      <c r="K25" s="343"/>
      <c r="L25" s="343"/>
      <c r="M25" s="343"/>
    </row>
    <row r="26" ht="17" customHeight="1" x14ac:dyDescent="0.2">
      <c r="B26" s="315" t="inlineStr">
        <is>
          <t xml:space="preserve">TOTALT</t>
        </is>
      </c>
      <c r="C26" s="315"/>
      <c r="D26" s="316">
        <f>SUM(D19:D25)</f>
        <v>11</v>
      </c>
      <c r="E26" s="317">
        <f>SUM(E19:E25)</f>
        <v>0</v>
      </c>
      <c r="F26" s="317">
        <f>SUM(F19:F25)</f>
        <v>0</v>
      </c>
      <c r="G26" s="320"/>
      <c r="H26" s="320"/>
      <c r="I26" s="320"/>
      <c r="J26" s="320"/>
      <c r="K26" s="320"/>
      <c r="L26" s="320"/>
      <c r="M26" s="320"/>
    </row>
    <row r="28" ht="18" customHeight="1" x14ac:dyDescent="0.2">
      <c r="B28" s="298" t="inlineStr">
        <is>
          <t xml:space="preserve">KALORIUNDERSKUDD UKE FOR UKE — MOT UKEMÅL</t>
        </is>
      </c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</row>
    <row r="30" ht="16" customHeight="1" x14ac:dyDescent="0.2">
      <c r="B30" s="311" t="inlineStr">
        <is>
          <t xml:space="preserve">UKE</t>
        </is>
      </c>
      <c r="C30" s="310" t="inlineStr">
        <is>
          <t xml:space="preserve">UNDERSKUDD</t>
        </is>
      </c>
      <c r="D30" s="310" t="inlineStr">
        <is>
          <t xml:space="preserve">UKEMÅL</t>
        </is>
      </c>
      <c r="E30" s="310" t="inlineStr">
        <is>
          <t xml:space="preserve">OPPNÅDD</t>
        </is>
      </c>
      <c r="F30" s="309"/>
      <c r="G30" s="309"/>
      <c r="H30" s="309"/>
      <c r="I30" s="309"/>
      <c r="J30" s="309"/>
      <c r="K30" s="309"/>
      <c r="L30" s="309"/>
      <c r="M30" s="309"/>
    </row>
    <row r="31" ht="14" customHeight="1" x14ac:dyDescent="0.2">
      <c r="B31" s="321">
        <f>Vekt!C14</f>
        <v>31</v>
      </c>
      <c r="C31" s="323">
        <f>IF(Vekt!R14="","",Vekt!R14)</f>
        <v>2100</v>
      </c>
      <c r="D31" s="323">
        <f>IF(Vekt!S14="","",Vekt!S14)</f>
        <v>2000</v>
      </c>
      <c r="E31" s="325">
        <f>IF(OR($C31="",$D31="",$D31=0),"",$C31/$D31)</f>
        <v>1.05</v>
      </c>
      <c r="F31" s="327" t="str">
        <f>IF($E31="","",REPT("█",MIN(10,ROUND($E31*10,0)))&amp;REPT("░",MAX(0,10-ROUND($E31*10,0)))&amp;IF($E31&gt;1.049," +",""))</f>
        <v xml:space="preserve">██████████ +</v>
      </c>
      <c r="G31" s="327"/>
      <c r="H31" s="327"/>
      <c r="I31" s="327"/>
      <c r="J31" s="327"/>
      <c r="K31" s="327"/>
      <c r="L31" s="327"/>
      <c r="M31" s="327"/>
    </row>
    <row r="32" ht="14" customHeight="1" x14ac:dyDescent="0.2">
      <c r="B32" s="322">
        <f>Vekt!C15</f>
        <v>32</v>
      </c>
      <c r="C32" s="324" t="str">
        <f>IF(Vekt!R15="","",Vekt!R15)</f>
        <v xml:space="preserve"/>
      </c>
      <c r="D32" s="324" t="str">
        <f>IF(Vekt!S15="","",Vekt!S15)</f>
        <v xml:space="preserve"/>
      </c>
      <c r="E32" s="326" t="str">
        <f>IF(OR($C32="",$D32="",$D32=0),"",$C32/$D32)</f>
        <v xml:space="preserve"/>
      </c>
      <c r="F32" s="328" t="str">
        <f>IF($E32="","",REPT("█",MIN(10,ROUND($E32*10,0)))&amp;REPT("░",MAX(0,10-ROUND($E32*10,0)))&amp;IF($E32&gt;1.049," +",""))</f>
        <v xml:space="preserve"/>
      </c>
      <c r="G32" s="328"/>
      <c r="H32" s="328"/>
      <c r="I32" s="328"/>
      <c r="J32" s="328"/>
      <c r="K32" s="328"/>
      <c r="L32" s="328"/>
      <c r="M32" s="328"/>
    </row>
    <row r="33" ht="14" customHeight="1" x14ac:dyDescent="0.2">
      <c r="B33" s="321">
        <f>Vekt!C16</f>
        <v>33</v>
      </c>
      <c r="C33" s="323" t="str">
        <f>IF(Vekt!R16="","",Vekt!R16)</f>
        <v xml:space="preserve"/>
      </c>
      <c r="D33" s="323" t="str">
        <f>IF(Vekt!S16="","",Vekt!S16)</f>
        <v xml:space="preserve"/>
      </c>
      <c r="E33" s="325" t="str">
        <f>IF(OR($C33="",$D33="",$D33=0),"",$C33/$D33)</f>
        <v xml:space="preserve"/>
      </c>
      <c r="F33" s="327" t="str">
        <f>IF($E33="","",REPT("█",MIN(10,ROUND($E33*10,0)))&amp;REPT("░",MAX(0,10-ROUND($E33*10,0)))&amp;IF($E33&gt;1.049," +",""))</f>
        <v xml:space="preserve"/>
      </c>
      <c r="G33" s="327"/>
      <c r="H33" s="327"/>
      <c r="I33" s="327"/>
      <c r="J33" s="327"/>
      <c r="K33" s="327"/>
      <c r="L33" s="327"/>
      <c r="M33" s="327"/>
    </row>
    <row r="34" ht="14" customHeight="1" x14ac:dyDescent="0.2">
      <c r="B34" s="322">
        <f>Vekt!C17</f>
        <v>34</v>
      </c>
      <c r="C34" s="324" t="str">
        <f>IF(Vekt!R17="","",Vekt!R17)</f>
        <v xml:space="preserve"/>
      </c>
      <c r="D34" s="324" t="str">
        <f>IF(Vekt!S17="","",Vekt!S17)</f>
        <v xml:space="preserve"/>
      </c>
      <c r="E34" s="326" t="str">
        <f>IF(OR($C34="",$D34="",$D34=0),"",$C34/$D34)</f>
        <v xml:space="preserve"/>
      </c>
      <c r="F34" s="328" t="str">
        <f>IF($E34="","",REPT("█",MIN(10,ROUND($E34*10,0)))&amp;REPT("░",MAX(0,10-ROUND($E34*10,0)))&amp;IF($E34&gt;1.049," +",""))</f>
        <v xml:space="preserve"/>
      </c>
      <c r="G34" s="328"/>
      <c r="H34" s="328"/>
      <c r="I34" s="328"/>
      <c r="J34" s="328"/>
      <c r="K34" s="328"/>
      <c r="L34" s="328"/>
      <c r="M34" s="328"/>
    </row>
    <row r="35" ht="14" customHeight="1" x14ac:dyDescent="0.2">
      <c r="B35" s="321">
        <f>Vekt!C18</f>
        <v>35</v>
      </c>
      <c r="C35" s="323" t="str">
        <f>IF(Vekt!R18="","",Vekt!R18)</f>
        <v xml:space="preserve"/>
      </c>
      <c r="D35" s="323" t="str">
        <f>IF(Vekt!S18="","",Vekt!S18)</f>
        <v xml:space="preserve"/>
      </c>
      <c r="E35" s="325" t="str">
        <f>IF(OR($C35="",$D35="",$D35=0),"",$C35/$D35)</f>
        <v xml:space="preserve"/>
      </c>
      <c r="F35" s="327" t="str">
        <f>IF($E35="","",REPT("█",MIN(10,ROUND($E35*10,0)))&amp;REPT("░",MAX(0,10-ROUND($E35*10,0)))&amp;IF($E35&gt;1.049," +",""))</f>
        <v xml:space="preserve"/>
      </c>
      <c r="G35" s="327"/>
      <c r="H35" s="327"/>
      <c r="I35" s="327"/>
      <c r="J35" s="327"/>
      <c r="K35" s="327"/>
      <c r="L35" s="327"/>
      <c r="M35" s="327"/>
    </row>
    <row r="36" ht="14" customHeight="1" x14ac:dyDescent="0.2">
      <c r="B36" s="322">
        <f>Vekt!C19</f>
        <v>36</v>
      </c>
      <c r="C36" s="324" t="str">
        <f>IF(Vekt!R19="","",Vekt!R19)</f>
        <v xml:space="preserve"/>
      </c>
      <c r="D36" s="324" t="str">
        <f>IF(Vekt!S19="","",Vekt!S19)</f>
        <v xml:space="preserve"/>
      </c>
      <c r="E36" s="326" t="str">
        <f>IF(OR($C36="",$D36="",$D36=0),"",$C36/$D36)</f>
        <v xml:space="preserve"/>
      </c>
      <c r="F36" s="328" t="str">
        <f>IF($E36="","",REPT("█",MIN(10,ROUND($E36*10,0)))&amp;REPT("░",MAX(0,10-ROUND($E36*10,0)))&amp;IF($E36&gt;1.049," +",""))</f>
        <v xml:space="preserve"/>
      </c>
      <c r="G36" s="328"/>
      <c r="H36" s="328"/>
      <c r="I36" s="328"/>
      <c r="J36" s="328"/>
      <c r="K36" s="328"/>
      <c r="L36" s="328"/>
      <c r="M36" s="328"/>
    </row>
    <row r="37" ht="14" customHeight="1" x14ac:dyDescent="0.2">
      <c r="B37" s="321">
        <f>Vekt!C20</f>
        <v>37</v>
      </c>
      <c r="C37" s="323" t="str">
        <f>IF(Vekt!R20="","",Vekt!R20)</f>
        <v xml:space="preserve"/>
      </c>
      <c r="D37" s="323" t="str">
        <f>IF(Vekt!S20="","",Vekt!S20)</f>
        <v xml:space="preserve"/>
      </c>
      <c r="E37" s="325" t="str">
        <f>IF(OR($C37="",$D37="",$D37=0),"",$C37/$D37)</f>
        <v xml:space="preserve"/>
      </c>
      <c r="F37" s="327" t="str">
        <f>IF($E37="","",REPT("█",MIN(10,ROUND($E37*10,0)))&amp;REPT("░",MAX(0,10-ROUND($E37*10,0)))&amp;IF($E37&gt;1.049," +",""))</f>
        <v xml:space="preserve"/>
      </c>
      <c r="G37" s="327"/>
      <c r="H37" s="327"/>
      <c r="I37" s="327"/>
      <c r="J37" s="327"/>
      <c r="K37" s="327"/>
      <c r="L37" s="327"/>
      <c r="M37" s="327"/>
    </row>
    <row r="38" ht="14" customHeight="1" x14ac:dyDescent="0.2">
      <c r="B38" s="322">
        <f>Vekt!C21</f>
        <v>38</v>
      </c>
      <c r="C38" s="324" t="str">
        <f>IF(Vekt!R21="","",Vekt!R21)</f>
        <v xml:space="preserve"/>
      </c>
      <c r="D38" s="324" t="str">
        <f>IF(Vekt!S21="","",Vekt!S21)</f>
        <v xml:space="preserve"/>
      </c>
      <c r="E38" s="326" t="str">
        <f>IF(OR($C38="",$D38="",$D38=0),"",$C38/$D38)</f>
        <v xml:space="preserve"/>
      </c>
      <c r="F38" s="328" t="str">
        <f>IF($E38="","",REPT("█",MIN(10,ROUND($E38*10,0)))&amp;REPT("░",MAX(0,10-ROUND($E38*10,0)))&amp;IF($E38&gt;1.049," +",""))</f>
        <v xml:space="preserve"/>
      </c>
      <c r="G38" s="328"/>
      <c r="H38" s="328"/>
      <c r="I38" s="328"/>
      <c r="J38" s="328"/>
      <c r="K38" s="328"/>
      <c r="L38" s="328"/>
      <c r="M38" s="328"/>
    </row>
    <row r="39" ht="14" customHeight="1" x14ac:dyDescent="0.2">
      <c r="B39" s="321">
        <f>Vekt!C22</f>
        <v>39</v>
      </c>
      <c r="C39" s="323" t="str">
        <f>IF(Vekt!R22="","",Vekt!R22)</f>
        <v xml:space="preserve"/>
      </c>
      <c r="D39" s="323" t="str">
        <f>IF(Vekt!S22="","",Vekt!S22)</f>
        <v xml:space="preserve"/>
      </c>
      <c r="E39" s="325" t="str">
        <f>IF(OR($C39="",$D39="",$D39=0),"",$C39/$D39)</f>
        <v xml:space="preserve"/>
      </c>
      <c r="F39" s="327" t="str">
        <f>IF($E39="","",REPT("█",MIN(10,ROUND($E39*10,0)))&amp;REPT("░",MAX(0,10-ROUND($E39*10,0)))&amp;IF($E39&gt;1.049," +",""))</f>
        <v xml:space="preserve"/>
      </c>
      <c r="G39" s="327"/>
      <c r="H39" s="327"/>
      <c r="I39" s="327"/>
      <c r="J39" s="327"/>
      <c r="K39" s="327"/>
      <c r="L39" s="327"/>
      <c r="M39" s="327"/>
    </row>
    <row r="40" ht="14" customHeight="1" x14ac:dyDescent="0.2">
      <c r="B40" s="322">
        <f>Vekt!C23</f>
        <v>40</v>
      </c>
      <c r="C40" s="324" t="str">
        <f>IF(Vekt!R23="","",Vekt!R23)</f>
        <v xml:space="preserve"/>
      </c>
      <c r="D40" s="324" t="str">
        <f>IF(Vekt!S23="","",Vekt!S23)</f>
        <v xml:space="preserve"/>
      </c>
      <c r="E40" s="326" t="str">
        <f>IF(OR($C40="",$D40="",$D40=0),"",$C40/$D40)</f>
        <v xml:space="preserve"/>
      </c>
      <c r="F40" s="328" t="str">
        <f>IF($E40="","",REPT("█",MIN(10,ROUND($E40*10,0)))&amp;REPT("░",MAX(0,10-ROUND($E40*10,0)))&amp;IF($E40&gt;1.049," +",""))</f>
        <v xml:space="preserve"/>
      </c>
      <c r="G40" s="328"/>
      <c r="H40" s="328"/>
      <c r="I40" s="328"/>
      <c r="J40" s="328"/>
      <c r="K40" s="328"/>
      <c r="L40" s="328"/>
      <c r="M40" s="328"/>
    </row>
    <row r="41" ht="14" customHeight="1" x14ac:dyDescent="0.2">
      <c r="B41" s="321">
        <f>Vekt!C24</f>
        <v>41</v>
      </c>
      <c r="C41" s="323" t="str">
        <f>IF(Vekt!R24="","",Vekt!R24)</f>
        <v xml:space="preserve"/>
      </c>
      <c r="D41" s="323" t="str">
        <f>IF(Vekt!S24="","",Vekt!S24)</f>
        <v xml:space="preserve"/>
      </c>
      <c r="E41" s="325" t="str">
        <f>IF(OR($C41="",$D41="",$D41=0),"",$C41/$D41)</f>
        <v xml:space="preserve"/>
      </c>
      <c r="F41" s="327" t="str">
        <f>IF($E41="","",REPT("█",MIN(10,ROUND($E41*10,0)))&amp;REPT("░",MAX(0,10-ROUND($E41*10,0)))&amp;IF($E41&gt;1.049," +",""))</f>
        <v xml:space="preserve"/>
      </c>
      <c r="G41" s="327"/>
      <c r="H41" s="327"/>
      <c r="I41" s="327"/>
      <c r="J41" s="327"/>
      <c r="K41" s="327"/>
      <c r="L41" s="327"/>
      <c r="M41" s="327"/>
    </row>
    <row r="42" ht="14" customHeight="1" x14ac:dyDescent="0.2">
      <c r="B42" s="322">
        <f>Vekt!C25</f>
        <v>42</v>
      </c>
      <c r="C42" s="324" t="str">
        <f>IF(Vekt!R25="","",Vekt!R25)</f>
        <v xml:space="preserve"/>
      </c>
      <c r="D42" s="324" t="str">
        <f>IF(Vekt!S25="","",Vekt!S25)</f>
        <v xml:space="preserve"/>
      </c>
      <c r="E42" s="326" t="str">
        <f>IF(OR($C42="",$D42="",$D42=0),"",$C42/$D42)</f>
        <v xml:space="preserve"/>
      </c>
      <c r="F42" s="328" t="str">
        <f>IF($E42="","",REPT("█",MIN(10,ROUND($E42*10,0)))&amp;REPT("░",MAX(0,10-ROUND($E42*10,0)))&amp;IF($E42&gt;1.049," +",""))</f>
        <v xml:space="preserve"/>
      </c>
      <c r="G42" s="328"/>
      <c r="H42" s="328"/>
      <c r="I42" s="328"/>
      <c r="J42" s="328"/>
      <c r="K42" s="328"/>
      <c r="L42" s="328"/>
      <c r="M42" s="328"/>
    </row>
    <row r="43" ht="14" customHeight="1" x14ac:dyDescent="0.2">
      <c r="B43" s="321">
        <f>Vekt!C26</f>
        <v>43</v>
      </c>
      <c r="C43" s="323" t="str">
        <f>IF(Vekt!R26="","",Vekt!R26)</f>
        <v xml:space="preserve"/>
      </c>
      <c r="D43" s="323" t="str">
        <f>IF(Vekt!S26="","",Vekt!S26)</f>
        <v xml:space="preserve"/>
      </c>
      <c r="E43" s="325" t="str">
        <f>IF(OR($C43="",$D43="",$D43=0),"",$C43/$D43)</f>
        <v xml:space="preserve"/>
      </c>
      <c r="F43" s="327" t="str">
        <f>IF($E43="","",REPT("█",MIN(10,ROUND($E43*10,0)))&amp;REPT("░",MAX(0,10-ROUND($E43*10,0)))&amp;IF($E43&gt;1.049," +",""))</f>
        <v xml:space="preserve"/>
      </c>
      <c r="G43" s="327"/>
      <c r="H43" s="327"/>
      <c r="I43" s="327"/>
      <c r="J43" s="327"/>
      <c r="K43" s="327"/>
      <c r="L43" s="327"/>
      <c r="M43" s="327"/>
    </row>
    <row r="44" ht="14" customHeight="1" x14ac:dyDescent="0.2">
      <c r="B44" s="322">
        <f>Vekt!C27</f>
        <v>44</v>
      </c>
      <c r="C44" s="324" t="str">
        <f>IF(Vekt!R27="","",Vekt!R27)</f>
        <v xml:space="preserve"/>
      </c>
      <c r="D44" s="324" t="str">
        <f>IF(Vekt!S27="","",Vekt!S27)</f>
        <v xml:space="preserve"/>
      </c>
      <c r="E44" s="326" t="str">
        <f>IF(OR($C44="",$D44="",$D44=0),"",$C44/$D44)</f>
        <v xml:space="preserve"/>
      </c>
      <c r="F44" s="328" t="str">
        <f>IF($E44="","",REPT("█",MIN(10,ROUND($E44*10,0)))&amp;REPT("░",MAX(0,10-ROUND($E44*10,0)))&amp;IF($E44&gt;1.049," +",""))</f>
        <v xml:space="preserve"/>
      </c>
      <c r="G44" s="328"/>
      <c r="H44" s="328"/>
      <c r="I44" s="328"/>
      <c r="J44" s="328"/>
      <c r="K44" s="328"/>
      <c r="L44" s="328"/>
      <c r="M44" s="328"/>
    </row>
    <row r="45" ht="14" customHeight="1" x14ac:dyDescent="0.2">
      <c r="B45" s="321">
        <f>Vekt!C28</f>
        <v>45</v>
      </c>
      <c r="C45" s="323" t="str">
        <f>IF(Vekt!R28="","",Vekt!R28)</f>
        <v xml:space="preserve"/>
      </c>
      <c r="D45" s="323" t="str">
        <f>IF(Vekt!S28="","",Vekt!S28)</f>
        <v xml:space="preserve"/>
      </c>
      <c r="E45" s="325" t="str">
        <f>IF(OR($C45="",$D45="",$D45=0),"",$C45/$D45)</f>
        <v xml:space="preserve"/>
      </c>
      <c r="F45" s="327" t="str">
        <f>IF($E45="","",REPT("█",MIN(10,ROUND($E45*10,0)))&amp;REPT("░",MAX(0,10-ROUND($E45*10,0)))&amp;IF($E45&gt;1.049," +",""))</f>
        <v xml:space="preserve"/>
      </c>
      <c r="G45" s="327"/>
      <c r="H45" s="327"/>
      <c r="I45" s="327"/>
      <c r="J45" s="327"/>
      <c r="K45" s="327"/>
      <c r="L45" s="327"/>
      <c r="M45" s="327"/>
    </row>
    <row r="46" ht="14" customHeight="1" x14ac:dyDescent="0.2">
      <c r="B46" s="322">
        <f>Vekt!C29</f>
        <v>46</v>
      </c>
      <c r="C46" s="324" t="str">
        <f>IF(Vekt!R29="","",Vekt!R29)</f>
        <v xml:space="preserve"/>
      </c>
      <c r="D46" s="324" t="str">
        <f>IF(Vekt!S29="","",Vekt!S29)</f>
        <v xml:space="preserve"/>
      </c>
      <c r="E46" s="326" t="str">
        <f>IF(OR($C46="",$D46="",$D46=0),"",$C46/$D46)</f>
        <v xml:space="preserve"/>
      </c>
      <c r="F46" s="328" t="str">
        <f>IF($E46="","",REPT("█",MIN(10,ROUND($E46*10,0)))&amp;REPT("░",MAX(0,10-ROUND($E46*10,0)))&amp;IF($E46&gt;1.049," +",""))</f>
        <v xml:space="preserve"/>
      </c>
      <c r="G46" s="328"/>
      <c r="H46" s="328"/>
      <c r="I46" s="328"/>
      <c r="J46" s="328"/>
      <c r="K46" s="328"/>
      <c r="L46" s="328"/>
      <c r="M46" s="328"/>
    </row>
    <row r="47" ht="14" customHeight="1" x14ac:dyDescent="0.2">
      <c r="B47" s="321">
        <f>Vekt!C30</f>
        <v>47</v>
      </c>
      <c r="C47" s="323" t="str">
        <f>IF(Vekt!R30="","",Vekt!R30)</f>
        <v xml:space="preserve"/>
      </c>
      <c r="D47" s="323" t="str">
        <f>IF(Vekt!S30="","",Vekt!S30)</f>
        <v xml:space="preserve"/>
      </c>
      <c r="E47" s="325" t="str">
        <f>IF(OR($C47="",$D47="",$D47=0),"",$C47/$D47)</f>
        <v xml:space="preserve"/>
      </c>
      <c r="F47" s="327" t="str">
        <f>IF($E47="","",REPT("█",MIN(10,ROUND($E47*10,0)))&amp;REPT("░",MAX(0,10-ROUND($E47*10,0)))&amp;IF($E47&gt;1.049," +",""))</f>
        <v xml:space="preserve"/>
      </c>
      <c r="G47" s="327"/>
      <c r="H47" s="327"/>
      <c r="I47" s="327"/>
      <c r="J47" s="327"/>
      <c r="K47" s="327"/>
      <c r="L47" s="327"/>
      <c r="M47" s="327"/>
    </row>
    <row r="48" ht="14" customHeight="1" x14ac:dyDescent="0.2">
      <c r="B48" s="322">
        <f>Vekt!C31</f>
        <v>48</v>
      </c>
      <c r="C48" s="324" t="str">
        <f>IF(Vekt!R31="","",Vekt!R31)</f>
        <v xml:space="preserve"/>
      </c>
      <c r="D48" s="324" t="str">
        <f>IF(Vekt!S31="","",Vekt!S31)</f>
        <v xml:space="preserve"/>
      </c>
      <c r="E48" s="326" t="str">
        <f>IF(OR($C48="",$D48="",$D48=0),"",$C48/$D48)</f>
        <v xml:space="preserve"/>
      </c>
      <c r="F48" s="328" t="str">
        <f>IF($E48="","",REPT("█",MIN(10,ROUND($E48*10,0)))&amp;REPT("░",MAX(0,10-ROUND($E48*10,0)))&amp;IF($E48&gt;1.049," +",""))</f>
        <v xml:space="preserve"/>
      </c>
      <c r="G48" s="328"/>
      <c r="H48" s="328"/>
      <c r="I48" s="328"/>
      <c r="J48" s="328"/>
      <c r="K48" s="328"/>
      <c r="L48" s="328"/>
      <c r="M48" s="328"/>
    </row>
    <row r="49" ht="14" customHeight="1" x14ac:dyDescent="0.2">
      <c r="B49" s="321">
        <f>Vekt!C32</f>
        <v>49</v>
      </c>
      <c r="C49" s="323" t="str">
        <f>IF(Vekt!R32="","",Vekt!R32)</f>
        <v xml:space="preserve"/>
      </c>
      <c r="D49" s="323" t="str">
        <f>IF(Vekt!S32="","",Vekt!S32)</f>
        <v xml:space="preserve"/>
      </c>
      <c r="E49" s="325" t="str">
        <f>IF(OR($C49="",$D49="",$D49=0),"",$C49/$D49)</f>
        <v xml:space="preserve"/>
      </c>
      <c r="F49" s="327" t="str">
        <f>IF($E49="","",REPT("█",MIN(10,ROUND($E49*10,0)))&amp;REPT("░",MAX(0,10-ROUND($E49*10,0)))&amp;IF($E49&gt;1.049," +",""))</f>
        <v xml:space="preserve"/>
      </c>
      <c r="G49" s="327"/>
      <c r="H49" s="327"/>
      <c r="I49" s="327"/>
      <c r="J49" s="327"/>
      <c r="K49" s="327"/>
      <c r="L49" s="327"/>
      <c r="M49" s="327"/>
    </row>
    <row r="50" ht="14" customHeight="1" x14ac:dyDescent="0.2">
      <c r="B50" s="322">
        <f>Vekt!C33</f>
        <v>50</v>
      </c>
      <c r="C50" s="324" t="str">
        <f>IF(Vekt!R33="","",Vekt!R33)</f>
        <v xml:space="preserve"/>
      </c>
      <c r="D50" s="324" t="str">
        <f>IF(Vekt!S33="","",Vekt!S33)</f>
        <v xml:space="preserve"/>
      </c>
      <c r="E50" s="326" t="str">
        <f>IF(OR($C50="",$D50="",$D50=0),"",$C50/$D50)</f>
        <v xml:space="preserve"/>
      </c>
      <c r="F50" s="328" t="str">
        <f>IF($E50="","",REPT("█",MIN(10,ROUND($E50*10,0)))&amp;REPT("░",MAX(0,10-ROUND($E50*10,0)))&amp;IF($E50&gt;1.049," +",""))</f>
        <v xml:space="preserve"/>
      </c>
      <c r="G50" s="328"/>
      <c r="H50" s="328"/>
      <c r="I50" s="328"/>
      <c r="J50" s="328"/>
      <c r="K50" s="328"/>
      <c r="L50" s="328"/>
      <c r="M50" s="328"/>
    </row>
    <row r="51" ht="14" customHeight="1" x14ac:dyDescent="0.2">
      <c r="B51" s="321">
        <f>Vekt!C34</f>
        <v>51</v>
      </c>
      <c r="C51" s="323" t="str">
        <f>IF(Vekt!R34="","",Vekt!R34)</f>
        <v xml:space="preserve"/>
      </c>
      <c r="D51" s="323" t="str">
        <f>IF(Vekt!S34="","",Vekt!S34)</f>
        <v xml:space="preserve"/>
      </c>
      <c r="E51" s="325" t="str">
        <f>IF(OR($C51="",$D51="",$D51=0),"",$C51/$D51)</f>
        <v xml:space="preserve"/>
      </c>
      <c r="F51" s="327" t="str">
        <f>IF($E51="","",REPT("█",MIN(10,ROUND($E51*10,0)))&amp;REPT("░",MAX(0,10-ROUND($E51*10,0)))&amp;IF($E51&gt;1.049," +",""))</f>
        <v xml:space="preserve"/>
      </c>
      <c r="G51" s="327"/>
      <c r="H51" s="327"/>
      <c r="I51" s="327"/>
      <c r="J51" s="327"/>
      <c r="K51" s="327"/>
      <c r="L51" s="327"/>
      <c r="M51" s="327"/>
    </row>
    <row r="52" ht="17" customHeight="1" x14ac:dyDescent="0.2">
      <c r="B52" s="315" t="inlineStr">
        <is>
          <t xml:space="preserve">TOTALT</t>
        </is>
      </c>
      <c r="C52" s="318">
        <f>IF(COUNT(C31:C51)=0,"",SUM(C31:C51))</f>
        <v>2100</v>
      </c>
      <c r="D52" s="318">
        <f>IF(COUNT(D31:D51)=0,"",SUM(D31:D51))</f>
        <v>2000</v>
      </c>
      <c r="E52" s="319">
        <f>IF(OR($C52="",$D52="",$D52=0),"",$C52/$D52)</f>
        <v>1.05</v>
      </c>
      <c r="F52" s="320"/>
      <c r="G52" s="320"/>
      <c r="H52" s="320"/>
      <c r="I52" s="320"/>
      <c r="J52" s="320"/>
      <c r="K52" s="320"/>
      <c r="L52" s="320"/>
      <c r="M52" s="320"/>
    </row>
    <row r="54" ht="12" customHeight="1" x14ac:dyDescent="0.2">
      <c r="B54" s="329" t="inlineStr">
        <is>
          <t xml:space="preserve">Alt på dette arket er formler som leser fra Dagslogg, Treningslogg, Vekt og Oversikt — ingen celler skal fylles inn her.</t>
        </is>
      </c>
    </row>
    <row r="55" ht="12" customHeight="1" x14ac:dyDescent="0.2">
      <c r="B55" s="329" t="inlineStr">
        <is>
          <t xml:space="preserve">Fargekonvensjonen i Guide §9 (grønn tekst = hentet fra annet ark) er bevisst fraveket på dette arket for lesbarhet.</t>
        </is>
      </c>
    </row>
  </sheetData>
  <mergeCells count="72">
    <mergeCell ref="B4:M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10:M10"/>
    <mergeCell ref="B12:E12"/>
    <mergeCell ref="F12:I12"/>
    <mergeCell ref="J12:M12"/>
    <mergeCell ref="B13:E13"/>
    <mergeCell ref="F13:I13"/>
    <mergeCell ref="J13:M13"/>
    <mergeCell ref="B14:E14"/>
    <mergeCell ref="F14:I14"/>
    <mergeCell ref="J14:M14"/>
    <mergeCell ref="B16:M16"/>
    <mergeCell ref="B18:C18"/>
    <mergeCell ref="G18:M18"/>
    <mergeCell ref="B19:C19"/>
    <mergeCell ref="G19:M19"/>
    <mergeCell ref="B20:C20"/>
    <mergeCell ref="G20:M20"/>
    <mergeCell ref="B21:C21"/>
    <mergeCell ref="G21:M21"/>
    <mergeCell ref="B22:C22"/>
    <mergeCell ref="G22:M22"/>
    <mergeCell ref="B23:C23"/>
    <mergeCell ref="G23:M23"/>
    <mergeCell ref="B24:C24"/>
    <mergeCell ref="G24:M24"/>
    <mergeCell ref="B25:C25"/>
    <mergeCell ref="G25:M25"/>
    <mergeCell ref="B26:C26"/>
    <mergeCell ref="G26:M26"/>
    <mergeCell ref="B28:M28"/>
    <mergeCell ref="F30:M30"/>
    <mergeCell ref="F31:M31"/>
    <mergeCell ref="F32:M32"/>
    <mergeCell ref="F33:M33"/>
    <mergeCell ref="F34:M34"/>
    <mergeCell ref="F35:M35"/>
    <mergeCell ref="F36:M36"/>
    <mergeCell ref="F37:M37"/>
    <mergeCell ref="F38:M38"/>
    <mergeCell ref="F39:M39"/>
    <mergeCell ref="F40:M40"/>
    <mergeCell ref="F41:M41"/>
    <mergeCell ref="F42:M42"/>
    <mergeCell ref="F43:M43"/>
    <mergeCell ref="F44:M44"/>
    <mergeCell ref="F45:M45"/>
    <mergeCell ref="F46:M46"/>
    <mergeCell ref="F47:M47"/>
    <mergeCell ref="F48:M48"/>
    <mergeCell ref="F49:M49"/>
    <mergeCell ref="F50:M50"/>
    <mergeCell ref="F51:M51"/>
    <mergeCell ref="F52:M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Guide</vt:lpstr>
      <vt:lpstr>Oversikt</vt:lpstr>
      <vt:lpstr>Vekt</vt:lpstr>
      <vt:lpstr>Dagslogg</vt:lpstr>
      <vt:lpstr>Treningslogg</vt:lpstr>
      <vt:lpstr>Styrketrening</vt:lpstr>
      <vt:lpstr>Styrketrening (historikk)</vt:lpstr>
      <vt:lpstr>Kommentarer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Nygaard Nyberg</dc:creator>
  <cp:lastModifiedBy>Daniel Nyberg</cp:lastModifiedBy>
  <dcterms:created xsi:type="dcterms:W3CDTF">2022-05-05T07:13:59Z</dcterms:created>
  <dcterms:modified xsi:type="dcterms:W3CDTF">2026-07-28T16:37:51Z</dcterms:modified>
</cp:coreProperties>
</file>